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Data_Awal" sheetId="2" state="visible" r:id="rId2"/>
    <sheet xmlns:r="http://schemas.openxmlformats.org/officeDocument/2006/relationships" name="Normalisasi" sheetId="3" state="visible" r:id="rId3"/>
    <sheet xmlns:r="http://schemas.openxmlformats.org/officeDocument/2006/relationships" name="Inisialisasi" sheetId="4" state="visible" r:id="rId4"/>
    <sheet xmlns:r="http://schemas.openxmlformats.org/officeDocument/2006/relationships" name="Konvergensi" sheetId="5" state="visible" r:id="rId5"/>
    <sheet xmlns:r="http://schemas.openxmlformats.org/officeDocument/2006/relationships" name="Hasil_Cluster" sheetId="6" state="visible" r:id="rId6"/>
    <sheet xmlns:r="http://schemas.openxmlformats.org/officeDocument/2006/relationships" name="Evaluasi_K" sheetId="7" state="visible" r:id="rId7"/>
    <sheet xmlns:r="http://schemas.openxmlformats.org/officeDocument/2006/relationships" name="Verifika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5" customWidth="1" min="1" max="1"/>
  </cols>
  <sheetData>
    <row r="1">
      <c r="A1" t="inlineStr">
        <is>
          <t>Verifikasi Manual Intelligent K-Means — Wisata Jakarta AI</t>
        </is>
      </c>
    </row>
    <row r="2">
      <c r="A2" t="inlineStr"/>
    </row>
    <row r="3">
      <c r="A3" t="inlineStr">
        <is>
          <t>Alur sheet:</t>
        </is>
      </c>
    </row>
    <row r="4">
      <c r="A4" t="inlineStr">
        <is>
          <t>1. Data_Awal — input 7 fitur (sel kuning).</t>
        </is>
      </c>
    </row>
    <row r="5">
      <c r="A5" t="inlineStr">
        <is>
          <t>2. Normalisasi — Z-Score otomatis (RATA.RATA, DEV.STANDAR.P).</t>
        </is>
      </c>
    </row>
    <row r="6">
      <c r="A6" t="inlineStr">
        <is>
          <t>3. Inisialisasi — centroid awal K-Means++ (indeks POI).</t>
        </is>
      </c>
    </row>
    <row r="7">
      <c r="A7" t="inlineStr">
        <is>
          <t>4. Konvergensi — iterasi lengkap: jarak, assignment, centroid baru, WCSS.</t>
        </is>
      </c>
    </row>
    <row r="8">
      <c r="A8" t="inlineStr">
        <is>
          <t>5. Hasil_Cluster — ringkasan centroid final &amp; label POI.</t>
        </is>
      </c>
    </row>
    <row r="9">
      <c r="A9" t="inlineStr">
        <is>
          <t>6. Evaluasi_K — WCSS &amp; Silhouette untuk K=2..max (Python ref).</t>
        </is>
      </c>
    </row>
    <row r="10">
      <c r="A10" t="inlineStr">
        <is>
          <t>7. Verifikasi — bandingkan selisih Excel vs program.</t>
        </is>
      </c>
    </row>
    <row r="11">
      <c r="A11" t="inlineStr"/>
    </row>
    <row r="12">
      <c r="A12" t="inlineStr">
        <is>
          <t>Parameter: K=3, max_iter=300, tol=0.0001, random_state=42</t>
        </is>
      </c>
    </row>
    <row r="13">
      <c r="A13" t="inlineStr">
        <is>
          <t>Backend: backend/services/kmeans_service.py</t>
        </is>
      </c>
    </row>
    <row r="14">
      <c r="A14" t="inlineStr">
        <is>
          <t>Locale formula: Indonesia (;). DEV.STANDAR.P = ddof=0 (sama sklearn StandardScaler).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POI ID</t>
        </is>
      </c>
      <c r="B1" s="1" t="inlineStr">
        <is>
          <t>Nama POI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Semantic Score</t>
        </is>
      </c>
      <c r="F1" s="1" t="inlineStr">
        <is>
          <t>Jarak Hotel (m)</t>
        </is>
      </c>
      <c r="G1" s="1" t="inlineStr">
        <is>
          <t>Jarak Halte (m)</t>
        </is>
      </c>
      <c r="H1" s="1" t="inlineStr">
        <is>
          <t>Restoran 500m</t>
        </is>
      </c>
      <c r="I1" s="1" t="inlineStr">
        <is>
          <t>Minimarket 500m</t>
        </is>
      </c>
    </row>
    <row r="2">
      <c r="A2" t="n">
        <v>1</v>
      </c>
      <c r="B2" t="inlineStr">
        <is>
          <t>POI Sample 01</t>
        </is>
      </c>
      <c r="C2" s="2" t="n">
        <v>-6.111416777779538</v>
      </c>
      <c r="D2" s="2" t="n">
        <v>106.8521637558012</v>
      </c>
      <c r="E2" s="2" t="n">
        <v>0.9359812868961807</v>
      </c>
      <c r="F2" s="2" t="n">
        <v>1609.026694414558</v>
      </c>
      <c r="G2" s="2" t="n">
        <v>1383.668418330094</v>
      </c>
      <c r="H2" s="2" t="n">
        <v>5</v>
      </c>
      <c r="I2" s="2" t="n">
        <v>12</v>
      </c>
    </row>
    <row r="3">
      <c r="A3" t="n">
        <v>2</v>
      </c>
      <c r="B3" t="inlineStr">
        <is>
          <t>POI Sample 02</t>
        </is>
      </c>
      <c r="C3" s="2" t="n">
        <v>-6.271638185495735</v>
      </c>
      <c r="D3" s="2" t="n">
        <v>106.8129214800793</v>
      </c>
      <c r="E3" s="2" t="n">
        <v>0.39382071845187</v>
      </c>
      <c r="F3" s="2" t="n">
        <v>10755.91437901319</v>
      </c>
      <c r="G3" s="2" t="n">
        <v>1798.834087555548</v>
      </c>
      <c r="H3" s="2" t="n">
        <v>15</v>
      </c>
      <c r="I3" s="2" t="n">
        <v>4</v>
      </c>
    </row>
    <row r="4">
      <c r="A4" t="n">
        <v>3</v>
      </c>
      <c r="B4" t="inlineStr">
        <is>
          <t>POI Sample 03</t>
        </is>
      </c>
      <c r="C4" s="2" t="n">
        <v>-6.201202688592261</v>
      </c>
      <c r="D4" s="2" t="n">
        <v>106.9978824831204</v>
      </c>
      <c r="E4" s="2" t="n">
        <v>0.8493714322674317</v>
      </c>
      <c r="F4" s="2" t="n">
        <v>11525.39966435549</v>
      </c>
      <c r="G4" s="2" t="n">
        <v>585.4592206277234</v>
      </c>
      <c r="H4" s="2" t="n">
        <v>9</v>
      </c>
      <c r="I4" s="2" t="n">
        <v>4</v>
      </c>
    </row>
    <row r="5">
      <c r="A5" t="n">
        <v>4</v>
      </c>
      <c r="B5" t="inlineStr">
        <is>
          <t>POI Sample 04</t>
        </is>
      </c>
      <c r="C5" s="2" t="n">
        <v>-6.134704412658088</v>
      </c>
      <c r="D5" s="2" t="n">
        <v>106.7454758740201</v>
      </c>
      <c r="E5" s="2" t="n">
        <v>0.3608401795688514</v>
      </c>
      <c r="F5" s="2" t="n">
        <v>2227.728092327167</v>
      </c>
      <c r="G5" s="2" t="n">
        <v>283.522138511238</v>
      </c>
      <c r="H5" s="2" t="n">
        <v>8</v>
      </c>
      <c r="I5" s="2" t="n">
        <v>5</v>
      </c>
    </row>
    <row r="6">
      <c r="A6" t="n">
        <v>5</v>
      </c>
      <c r="B6" t="inlineStr">
        <is>
          <t>POI Sample 05</t>
        </is>
      </c>
      <c r="C6" s="2" t="n">
        <v>-6.289287851085681</v>
      </c>
      <c r="D6" s="2" t="n">
        <v>106.9971665576677</v>
      </c>
      <c r="E6" s="2" t="n">
        <v>0.7660274224589605</v>
      </c>
      <c r="F6" s="2" t="n">
        <v>8024.746298776087</v>
      </c>
      <c r="G6" s="2" t="n">
        <v>170.7723195598329</v>
      </c>
      <c r="H6" s="2" t="n">
        <v>2</v>
      </c>
      <c r="I6" s="2" t="n">
        <v>3</v>
      </c>
    </row>
    <row r="7">
      <c r="A7" t="n">
        <v>6</v>
      </c>
      <c r="B7" t="inlineStr">
        <is>
          <t>POI Sample 06</t>
        </is>
      </c>
      <c r="C7" s="2" t="n">
        <v>-6.23697912656678</v>
      </c>
      <c r="D7" s="2" t="n">
        <v>106.9629749525077</v>
      </c>
      <c r="E7" s="2" t="n">
        <v>0.6536220660820851</v>
      </c>
      <c r="F7" s="2" t="n">
        <v>774.914153670132</v>
      </c>
      <c r="G7" s="2" t="n">
        <v>2072.503065629578</v>
      </c>
      <c r="H7" s="2" t="n">
        <v>15</v>
      </c>
      <c r="I7" s="2" t="n">
        <v>11</v>
      </c>
    </row>
    <row r="8">
      <c r="A8" t="n">
        <v>7</v>
      </c>
      <c r="B8" t="inlineStr">
        <is>
          <t>POI Sample 07</t>
        </is>
      </c>
      <c r="C8" s="2" t="n">
        <v>-6.132263573840338</v>
      </c>
      <c r="D8" s="2" t="n">
        <v>107.013076468589</v>
      </c>
      <c r="E8" s="2" t="n">
        <v>0.3976339620646634</v>
      </c>
      <c r="F8" s="2" t="n">
        <v>2657.383813260873</v>
      </c>
      <c r="G8" s="2" t="n">
        <v>1685.37867354279</v>
      </c>
      <c r="H8" s="2" t="n">
        <v>4</v>
      </c>
      <c r="I8" s="2" t="n">
        <v>0</v>
      </c>
    </row>
    <row r="9">
      <c r="A9" t="n">
        <v>8</v>
      </c>
      <c r="B9" t="inlineStr">
        <is>
          <t>POI Sample 08</t>
        </is>
      </c>
      <c r="C9" s="2" t="n">
        <v>-6.109075363460279</v>
      </c>
      <c r="D9" s="2" t="n">
        <v>106.7848405511317</v>
      </c>
      <c r="E9" s="2" t="n">
        <v>0.7525984031139936</v>
      </c>
      <c r="F9" s="2" t="n">
        <v>10494.53803805614</v>
      </c>
      <c r="G9" s="2" t="n">
        <v>2404.382390404602</v>
      </c>
      <c r="H9" s="2" t="n">
        <v>0</v>
      </c>
      <c r="I9" s="2" t="n">
        <v>3</v>
      </c>
    </row>
    <row r="10">
      <c r="A10" t="n">
        <v>9</v>
      </c>
      <c r="B10" t="inlineStr">
        <is>
          <t>POI Sample 09</t>
        </is>
      </c>
      <c r="C10" s="2" t="n">
        <v>-6.155312110731419</v>
      </c>
      <c r="D10" s="2" t="n">
        <v>107.0258328366337</v>
      </c>
      <c r="E10" s="2" t="n">
        <v>0.4051030984118664</v>
      </c>
      <c r="F10" s="2" t="n">
        <v>5833.258538587334</v>
      </c>
      <c r="G10" s="2" t="n">
        <v>770.4869235526946</v>
      </c>
      <c r="H10" s="2" t="n">
        <v>5</v>
      </c>
      <c r="I10" s="2" t="n">
        <v>7</v>
      </c>
    </row>
    <row r="11">
      <c r="A11" t="n">
        <v>10</v>
      </c>
      <c r="B11" t="inlineStr">
        <is>
          <t>POI Sample 10</t>
        </is>
      </c>
      <c r="C11" s="2" t="n">
        <v>-6.179691110621234</v>
      </c>
      <c r="D11" s="2" t="n">
        <v>106.8390842582281</v>
      </c>
      <c r="E11" s="2" t="n">
        <v>0.7471235322422509</v>
      </c>
      <c r="F11" s="2" t="n">
        <v>9561.335687443045</v>
      </c>
      <c r="G11" s="2" t="n">
        <v>1705.393482593399</v>
      </c>
      <c r="H11" s="2" t="n">
        <v>17</v>
      </c>
      <c r="I11" s="2" t="n">
        <v>2</v>
      </c>
    </row>
    <row r="12">
      <c r="A12" t="n">
        <v>11</v>
      </c>
      <c r="B12" t="inlineStr">
        <is>
          <t>POI Sample 11</t>
        </is>
      </c>
      <c r="C12" s="2" t="n">
        <v>-6.07711045192563</v>
      </c>
      <c r="D12" s="2" t="n">
        <v>107.0391675084144</v>
      </c>
      <c r="E12" s="2" t="n">
        <v>0.7323385849320074</v>
      </c>
      <c r="F12" s="2" t="n">
        <v>3599.254872098999</v>
      </c>
      <c r="G12" s="2" t="n">
        <v>2557.966314567624</v>
      </c>
      <c r="H12" s="2" t="n">
        <v>4</v>
      </c>
      <c r="I12" s="2" t="n">
        <v>6</v>
      </c>
    </row>
    <row r="13">
      <c r="A13" t="n">
        <v>12</v>
      </c>
      <c r="B13" t="inlineStr">
        <is>
          <t>POI Sample 12</t>
        </is>
      </c>
      <c r="C13" s="2" t="n">
        <v>-6.262925940077984</v>
      </c>
      <c r="D13" s="2" t="n">
        <v>106.8601614746305</v>
      </c>
      <c r="E13" s="2" t="n">
        <v>0.3768468044919844</v>
      </c>
      <c r="F13" s="2" t="n">
        <v>4301.501697057126</v>
      </c>
      <c r="G13" s="2" t="n">
        <v>2558.674914296738</v>
      </c>
      <c r="H13" s="2" t="n">
        <v>8</v>
      </c>
      <c r="I13" s="2" t="n">
        <v>0</v>
      </c>
    </row>
    <row r="14">
      <c r="A14" t="n">
        <v>13</v>
      </c>
      <c r="B14" t="inlineStr">
        <is>
          <t>POI Sample 13</t>
        </is>
      </c>
      <c r="C14" s="2" t="n">
        <v>-6.079986364531743</v>
      </c>
      <c r="D14" s="2" t="n">
        <v>106.7731963484591</v>
      </c>
      <c r="E14" s="2" t="n">
        <v>0.8416526455050173</v>
      </c>
      <c r="F14" s="2" t="n">
        <v>10619.30104981495</v>
      </c>
      <c r="G14" s="2" t="n">
        <v>839.5397792450904</v>
      </c>
      <c r="H14" s="2" t="n">
        <v>20</v>
      </c>
      <c r="I14" s="2" t="n">
        <v>10</v>
      </c>
    </row>
    <row r="15">
      <c r="A15" t="n">
        <v>14</v>
      </c>
      <c r="B15" t="inlineStr">
        <is>
          <t>POI Sample 14</t>
        </is>
      </c>
      <c r="C15" s="2" t="n">
        <v>-6.257250823854337</v>
      </c>
      <c r="D15" s="2" t="n">
        <v>107.0129687719044</v>
      </c>
      <c r="E15" s="2" t="n">
        <v>0.5201230223899246</v>
      </c>
      <c r="F15" s="2" t="n">
        <v>2684.889633306482</v>
      </c>
      <c r="G15" s="2" t="n">
        <v>712.2623251562978</v>
      </c>
      <c r="H15" s="2" t="n">
        <v>0</v>
      </c>
      <c r="I15" s="2" t="n">
        <v>7</v>
      </c>
    </row>
    <row r="16">
      <c r="A16" t="n">
        <v>15</v>
      </c>
      <c r="B16" t="inlineStr">
        <is>
          <t>POI Sample 15</t>
        </is>
      </c>
      <c r="C16" s="2" t="n">
        <v>-6.288742444793373</v>
      </c>
      <c r="D16" s="2" t="n">
        <v>106.7499172256734</v>
      </c>
      <c r="E16" s="2" t="n">
        <v>0.7085181560656864</v>
      </c>
      <c r="F16" s="2" t="n">
        <v>13511.02506186313</v>
      </c>
      <c r="G16" s="2" t="n">
        <v>2027.560340773647</v>
      </c>
      <c r="H16" s="2" t="n">
        <v>18</v>
      </c>
      <c r="I16" s="2" t="n">
        <v>6</v>
      </c>
    </row>
    <row r="17">
      <c r="A17" t="n">
        <v>16</v>
      </c>
      <c r="B17" t="inlineStr">
        <is>
          <t>POI Sample 16</t>
        </is>
      </c>
      <c r="C17" s="2" t="n">
        <v>-6.218176057106658</v>
      </c>
      <c r="D17" s="2" t="n">
        <v>107.03183076939</v>
      </c>
      <c r="E17" s="2" t="n">
        <v>0.9051213432298386</v>
      </c>
      <c r="F17" s="2" t="n">
        <v>8730.893327979882</v>
      </c>
      <c r="G17" s="2" t="n">
        <v>2502.427388663472</v>
      </c>
      <c r="H17" s="2" t="n">
        <v>9</v>
      </c>
      <c r="I17" s="2" t="n">
        <v>1</v>
      </c>
    </row>
    <row r="18">
      <c r="A18" t="n">
        <v>17</v>
      </c>
      <c r="B18" t="inlineStr">
        <is>
          <t>POI Sample 17</t>
        </is>
      </c>
      <c r="C18" s="2" t="n">
        <v>-6.060797746517084</v>
      </c>
      <c r="D18" s="2" t="n">
        <v>106.829581918555</v>
      </c>
      <c r="E18" s="2" t="n">
        <v>0.4748832155755345</v>
      </c>
      <c r="F18" s="2" t="n">
        <v>1894.145116239147</v>
      </c>
      <c r="G18" s="2" t="n">
        <v>969.5270930703529</v>
      </c>
      <c r="H18" s="2" t="n">
        <v>4</v>
      </c>
      <c r="I18" s="2" t="n">
        <v>2</v>
      </c>
    </row>
    <row r="19">
      <c r="A19" t="n">
        <v>18</v>
      </c>
      <c r="B19" t="inlineStr">
        <is>
          <t>POI Sample 18</t>
        </is>
      </c>
      <c r="C19" s="2" t="n">
        <v>-6.296429124963485</v>
      </c>
      <c r="D19" s="2" t="n">
        <v>106.9106698312684</v>
      </c>
      <c r="E19" s="2" t="n">
        <v>0.6014311915737409</v>
      </c>
      <c r="F19" s="2" t="n">
        <v>5615.2231848822</v>
      </c>
      <c r="G19" s="2" t="n">
        <v>680.997794537168</v>
      </c>
      <c r="H19" s="2" t="n">
        <v>4</v>
      </c>
      <c r="I19" s="2" t="n">
        <v>4</v>
      </c>
    </row>
    <row r="20">
      <c r="A20" t="n">
        <v>19</v>
      </c>
      <c r="B20" t="inlineStr">
        <is>
          <t>POI Sample 19</t>
        </is>
      </c>
      <c r="C20" s="2" t="n">
        <v>-6.207838575225179</v>
      </c>
      <c r="D20" s="2" t="n">
        <v>106.8719819472952</v>
      </c>
      <c r="E20" s="2" t="n">
        <v>0.3778513702276504</v>
      </c>
      <c r="F20" s="2" t="n">
        <v>10850.02409091721</v>
      </c>
      <c r="G20" s="2" t="n">
        <v>664.3606956398116</v>
      </c>
      <c r="H20" s="2" t="n">
        <v>6</v>
      </c>
      <c r="I20" s="2" t="n">
        <v>3</v>
      </c>
    </row>
    <row r="21">
      <c r="A21" t="n">
        <v>20</v>
      </c>
      <c r="B21" t="inlineStr">
        <is>
          <t>POI Sample 20</t>
        </is>
      </c>
      <c r="C21" s="2" t="n">
        <v>-6.063476206920019</v>
      </c>
      <c r="D21" s="2" t="n">
        <v>106.9851090710089</v>
      </c>
      <c r="E21" s="2" t="n">
        <v>0.3774667527466127</v>
      </c>
      <c r="F21" s="2" t="n">
        <v>6776.566434930309</v>
      </c>
      <c r="G21" s="2" t="n">
        <v>1542.547943705857</v>
      </c>
      <c r="H21" s="2" t="n">
        <v>20</v>
      </c>
      <c r="I21" s="2" t="n">
        <v>13</v>
      </c>
    </row>
    <row r="22">
      <c r="A22" t="n">
        <v>21</v>
      </c>
      <c r="B22" t="inlineStr">
        <is>
          <t>POI Sample 21</t>
        </is>
      </c>
      <c r="C22" s="2" t="n">
        <v>-6.269118931280029</v>
      </c>
      <c r="D22" s="2" t="n">
        <v>106.8597117954445</v>
      </c>
      <c r="E22" s="2" t="n">
        <v>0.8396693319341411</v>
      </c>
      <c r="F22" s="2" t="n">
        <v>3350.365411806487</v>
      </c>
      <c r="G22" s="2" t="n">
        <v>1842.930601554151</v>
      </c>
      <c r="H22" s="2" t="n">
        <v>16</v>
      </c>
      <c r="I22" s="2" t="n">
        <v>13</v>
      </c>
    </row>
    <row r="23">
      <c r="A23" t="n">
        <v>22</v>
      </c>
      <c r="B23" t="inlineStr">
        <is>
          <t>POI Sample 22</t>
        </is>
      </c>
      <c r="C23" s="2" t="n">
        <v>-6.156007386597484</v>
      </c>
      <c r="D23" s="2" t="n">
        <v>107.013829974119</v>
      </c>
      <c r="E23" s="2" t="n">
        <v>0.9207070298136336</v>
      </c>
      <c r="F23" s="2" t="n">
        <v>12955.16476340957</v>
      </c>
      <c r="G23" s="2" t="n">
        <v>2677.082803267366</v>
      </c>
      <c r="H23" s="2" t="n">
        <v>20</v>
      </c>
      <c r="I23" s="2" t="n">
        <v>0</v>
      </c>
    </row>
    <row r="24">
      <c r="A24" t="n">
        <v>23</v>
      </c>
      <c r="B24" t="inlineStr">
        <is>
          <t>POI Sample 23</t>
        </is>
      </c>
      <c r="C24" s="2" t="n">
        <v>-6.129980817610402</v>
      </c>
      <c r="D24" s="2" t="n">
        <v>106.93764204156</v>
      </c>
      <c r="E24" s="2" t="n">
        <v>0.5277337990495358</v>
      </c>
      <c r="F24" s="2" t="n">
        <v>3554.164371971824</v>
      </c>
      <c r="G24" s="2" t="n">
        <v>524.2680306902218</v>
      </c>
      <c r="H24" s="2" t="n">
        <v>21</v>
      </c>
      <c r="I24" s="2" t="n">
        <v>9</v>
      </c>
    </row>
    <row r="25">
      <c r="A25" t="n">
        <v>24</v>
      </c>
      <c r="B25" t="inlineStr">
        <is>
          <t>POI Sample 24</t>
        </is>
      </c>
      <c r="C25" s="2" t="n">
        <v>-6.102401982009948</v>
      </c>
      <c r="D25" s="2" t="n">
        <v>106.9118363266577</v>
      </c>
      <c r="E25" s="2" t="n">
        <v>0.8461564467454733</v>
      </c>
      <c r="F25" s="2" t="n">
        <v>9229.261464472602</v>
      </c>
      <c r="G25" s="2" t="n">
        <v>1816.182513221034</v>
      </c>
      <c r="H25" s="2" t="n">
        <v>21</v>
      </c>
      <c r="I25" s="2" t="n">
        <v>1</v>
      </c>
    </row>
    <row r="26">
      <c r="A26" t="n">
        <v>25</v>
      </c>
      <c r="B26" t="inlineStr">
        <is>
          <t>POI Sample 25</t>
        </is>
      </c>
      <c r="C26" s="2" t="n">
        <v>-6.118659534118953</v>
      </c>
      <c r="D26" s="2" t="n">
        <v>107.036266141221</v>
      </c>
      <c r="E26" s="2" t="n">
        <v>0.5948410811453252</v>
      </c>
      <c r="F26" s="2" t="n">
        <v>6150.957333490346</v>
      </c>
      <c r="G26" s="2" t="n">
        <v>2020.802801580199</v>
      </c>
      <c r="H26" s="2" t="n">
        <v>13</v>
      </c>
      <c r="I26" s="2" t="n">
        <v>13</v>
      </c>
    </row>
    <row r="27">
      <c r="A27" t="n">
        <v>26</v>
      </c>
      <c r="B27" t="inlineStr">
        <is>
          <t>POI Sample 26</t>
        </is>
      </c>
      <c r="C27" s="2" t="n">
        <v>-6.250530446924401</v>
      </c>
      <c r="D27" s="2" t="n">
        <v>106.925411949427</v>
      </c>
      <c r="E27" s="2" t="n">
        <v>0.6919350155230404</v>
      </c>
      <c r="F27" s="2" t="n">
        <v>7682.725299056737</v>
      </c>
      <c r="G27" s="2" t="n">
        <v>673.3274294143171</v>
      </c>
      <c r="H27" s="2" t="n">
        <v>9</v>
      </c>
      <c r="I27" s="2" t="n">
        <v>9</v>
      </c>
    </row>
    <row r="28">
      <c r="A28" t="n">
        <v>27</v>
      </c>
      <c r="B28" t="inlineStr">
        <is>
          <t>POI Sample 27</t>
        </is>
      </c>
      <c r="C28" s="2" t="n">
        <v>-6.253514747043612</v>
      </c>
      <c r="D28" s="2" t="n">
        <v>106.8240263435055</v>
      </c>
      <c r="E28" s="2" t="n">
        <v>0.8660759606564918</v>
      </c>
      <c r="F28" s="2" t="n">
        <v>2379.467902918717</v>
      </c>
      <c r="G28" s="2" t="n">
        <v>2448.105232329573</v>
      </c>
      <c r="H28" s="2" t="n">
        <v>21</v>
      </c>
      <c r="I28" s="2" t="n">
        <v>12</v>
      </c>
    </row>
    <row r="29">
      <c r="A29" t="n">
        <v>28</v>
      </c>
      <c r="B29" t="inlineStr">
        <is>
          <t>POI Sample 28</t>
        </is>
      </c>
      <c r="C29" s="2" t="n">
        <v>-6.145987439739502</v>
      </c>
      <c r="D29" s="2" t="n">
        <v>106.9392021833534</v>
      </c>
      <c r="E29" s="2" t="n">
        <v>0.9361192553147799</v>
      </c>
      <c r="F29" s="2" t="n">
        <v>2560.094776196188</v>
      </c>
      <c r="G29" s="2" t="n">
        <v>886.5641438983954</v>
      </c>
      <c r="H29" s="2" t="n">
        <v>17</v>
      </c>
      <c r="I29" s="2" t="n">
        <v>7</v>
      </c>
    </row>
    <row r="30">
      <c r="A30" t="n">
        <v>29</v>
      </c>
      <c r="B30" t="inlineStr">
        <is>
          <t>POI Sample 29</t>
        </is>
      </c>
      <c r="C30" s="2" t="n">
        <v>-6.279579824161498</v>
      </c>
      <c r="D30" s="2" t="n">
        <v>106.7341489648096</v>
      </c>
      <c r="E30" s="2" t="n">
        <v>0.8374808228797925</v>
      </c>
      <c r="F30" s="2" t="n">
        <v>6473.703444791888</v>
      </c>
      <c r="G30" s="2" t="n">
        <v>606.4286419979874</v>
      </c>
      <c r="H30" s="2" t="n">
        <v>0</v>
      </c>
      <c r="I30" s="2" t="n">
        <v>8</v>
      </c>
    </row>
    <row r="31">
      <c r="A31" t="n">
        <v>30</v>
      </c>
      <c r="B31" t="inlineStr">
        <is>
          <t>POI Sample 30</t>
        </is>
      </c>
      <c r="C31" s="2" t="n">
        <v>-6.27287331229536</v>
      </c>
      <c r="D31" s="2" t="n">
        <v>107.0373366941204</v>
      </c>
      <c r="E31" s="2" t="n">
        <v>0.4102680881341703</v>
      </c>
      <c r="F31" s="2" t="n">
        <v>445.3643073019289</v>
      </c>
      <c r="G31" s="2" t="n">
        <v>752.7430903870243</v>
      </c>
      <c r="H31" s="2" t="n">
        <v>4</v>
      </c>
      <c r="I31" s="2" t="n">
        <v>11</v>
      </c>
    </row>
    <row r="32">
      <c r="A32" t="n">
        <v>31</v>
      </c>
      <c r="B32" t="inlineStr">
        <is>
          <t>POI Sample 31</t>
        </is>
      </c>
      <c r="C32" s="2" t="n">
        <v>-6.232623522032708</v>
      </c>
      <c r="D32" s="2" t="n">
        <v>106.9929442420829</v>
      </c>
      <c r="E32" s="2" t="n">
        <v>0.475654768476676</v>
      </c>
      <c r="F32" s="2" t="n">
        <v>1905.012260723139</v>
      </c>
      <c r="G32" s="2" t="n">
        <v>147.1450732336129</v>
      </c>
      <c r="H32" s="2" t="n">
        <v>13</v>
      </c>
      <c r="I32" s="2" t="n">
        <v>11</v>
      </c>
    </row>
    <row r="33">
      <c r="A33" t="n">
        <v>32</v>
      </c>
      <c r="B33" t="inlineStr">
        <is>
          <t>POI Sample 32</t>
        </is>
      </c>
      <c r="C33" s="2" t="n">
        <v>-6.185274721977573</v>
      </c>
      <c r="D33" s="2" t="n">
        <v>106.7411693271675</v>
      </c>
      <c r="E33" s="2" t="n">
        <v>0.4697724029763118</v>
      </c>
      <c r="F33" s="2" t="n">
        <v>3315.472462962406</v>
      </c>
      <c r="G33" s="2" t="n">
        <v>151.5438977998976</v>
      </c>
      <c r="H33" s="2" t="n">
        <v>6</v>
      </c>
      <c r="I33" s="2" t="n">
        <v>0</v>
      </c>
    </row>
    <row r="34">
      <c r="A34" t="n">
        <v>33</v>
      </c>
      <c r="B34" t="inlineStr">
        <is>
          <t>POI Sample 33</t>
        </is>
      </c>
      <c r="C34" s="2" t="n">
        <v>-6.141359158814276</v>
      </c>
      <c r="D34" s="2" t="n">
        <v>107.0007432679837</v>
      </c>
      <c r="E34" s="2" t="n">
        <v>0.694648914212022</v>
      </c>
      <c r="F34" s="2" t="n">
        <v>6226.721431645521</v>
      </c>
      <c r="G34" s="2" t="n">
        <v>2386.523207749974</v>
      </c>
      <c r="H34" s="2" t="n">
        <v>14</v>
      </c>
      <c r="I34" s="2" t="n">
        <v>3</v>
      </c>
    </row>
    <row r="35">
      <c r="A35" t="n">
        <v>34</v>
      </c>
      <c r="B35" t="inlineStr">
        <is>
          <t>POI Sample 34</t>
        </is>
      </c>
      <c r="C35" s="2" t="n">
        <v>-6.253876816208732</v>
      </c>
      <c r="D35" s="2" t="n">
        <v>106.8078509351453</v>
      </c>
      <c r="E35" s="2" t="n">
        <v>0.7795689460676007</v>
      </c>
      <c r="F35" s="2" t="n">
        <v>1953.389436888306</v>
      </c>
      <c r="G35" s="2" t="n">
        <v>1424.80917574503</v>
      </c>
      <c r="H35" s="2" t="n">
        <v>1</v>
      </c>
      <c r="I35" s="2" t="n">
        <v>8</v>
      </c>
    </row>
    <row r="36">
      <c r="A36" t="n">
        <v>35</v>
      </c>
      <c r="B36" t="inlineStr">
        <is>
          <t>POI Sample 35</t>
        </is>
      </c>
      <c r="C36" s="2" t="n">
        <v>-6.074798404334572</v>
      </c>
      <c r="D36" s="2" t="n">
        <v>106.8632909257439</v>
      </c>
      <c r="E36" s="2" t="n">
        <v>0.6018612933494494</v>
      </c>
      <c r="F36" s="2" t="n">
        <v>6425.692135039457</v>
      </c>
      <c r="G36" s="2" t="n">
        <v>284.3536156204342</v>
      </c>
      <c r="H36" s="2" t="n">
        <v>0</v>
      </c>
      <c r="I36" s="2" t="n">
        <v>4</v>
      </c>
    </row>
    <row r="37">
      <c r="A37" t="n">
        <v>36</v>
      </c>
      <c r="B37" t="inlineStr">
        <is>
          <t>POI Sample 36</t>
        </is>
      </c>
      <c r="C37" s="2" t="n">
        <v>-6.107189765596133</v>
      </c>
      <c r="D37" s="2" t="n">
        <v>107.0023179220017</v>
      </c>
      <c r="E37" s="2" t="n">
        <v>0.7987407659738666</v>
      </c>
      <c r="F37" s="2" t="n">
        <v>9535.714127490515</v>
      </c>
      <c r="G37" s="2" t="n">
        <v>730.781402962504</v>
      </c>
      <c r="H37" s="2" t="n">
        <v>3</v>
      </c>
      <c r="I37" s="2" t="n">
        <v>7</v>
      </c>
    </row>
    <row r="38">
      <c r="A38" t="n">
        <v>37</v>
      </c>
      <c r="B38" t="inlineStr">
        <is>
          <t>POI Sample 37</t>
        </is>
      </c>
      <c r="C38" s="2" t="n">
        <v>-6.322075429298409</v>
      </c>
      <c r="D38" s="2" t="n">
        <v>106.9646307457947</v>
      </c>
      <c r="E38" s="2" t="n">
        <v>0.5705726365027479</v>
      </c>
      <c r="F38" s="2" t="n">
        <v>8218.645663508341</v>
      </c>
      <c r="G38" s="2" t="n">
        <v>1923.824168590858</v>
      </c>
      <c r="H38" s="2" t="n">
        <v>10</v>
      </c>
      <c r="I38" s="2" t="n">
        <v>5</v>
      </c>
    </row>
    <row r="39">
      <c r="A39" t="n">
        <v>38</v>
      </c>
      <c r="B39" t="inlineStr">
        <is>
          <t>POI Sample 38</t>
        </is>
      </c>
      <c r="C39" s="2" t="n">
        <v>-6.23908849755288</v>
      </c>
      <c r="D39" s="2" t="n">
        <v>106.7919956838114</v>
      </c>
      <c r="E39" s="2" t="n">
        <v>0.7423727551440396</v>
      </c>
      <c r="F39" s="2" t="n">
        <v>13008.59479436731</v>
      </c>
      <c r="G39" s="2" t="n">
        <v>1455.807648034172</v>
      </c>
      <c r="H39" s="2" t="n">
        <v>0</v>
      </c>
      <c r="I39" s="2" t="n">
        <v>12</v>
      </c>
    </row>
    <row r="40">
      <c r="A40" t="n">
        <v>39</v>
      </c>
      <c r="B40" t="inlineStr">
        <is>
          <t>POI Sample 39</t>
        </is>
      </c>
      <c r="C40" s="2" t="n">
        <v>-6.239621105555344</v>
      </c>
      <c r="D40" s="2" t="n">
        <v>106.9137150681144</v>
      </c>
      <c r="E40" s="2" t="n">
        <v>0.4923030958327271</v>
      </c>
      <c r="F40" s="2" t="n">
        <v>11319.7535158252</v>
      </c>
      <c r="G40" s="2" t="n">
        <v>1654.287566735095</v>
      </c>
      <c r="H40" s="2" t="n">
        <v>3</v>
      </c>
      <c r="I40" s="2" t="n">
        <v>1</v>
      </c>
    </row>
    <row r="41">
      <c r="A41" t="n">
        <v>40</v>
      </c>
      <c r="B41" t="inlineStr">
        <is>
          <t>POI Sample 40</t>
        </is>
      </c>
      <c r="C41" s="2" t="n">
        <v>-6.145214645200885</v>
      </c>
      <c r="D41" s="2" t="n">
        <v>106.8276004613982</v>
      </c>
      <c r="E41" s="2" t="n">
        <v>0.8244535909290462</v>
      </c>
      <c r="F41" s="2" t="n">
        <v>1371.790636518407</v>
      </c>
      <c r="G41" s="2" t="n">
        <v>2715.351884260477</v>
      </c>
      <c r="H41" s="2" t="n">
        <v>21</v>
      </c>
      <c r="I41" s="2" t="n">
        <v>4</v>
      </c>
    </row>
    <row r="42">
      <c r="A42" t="n">
        <v>41</v>
      </c>
      <c r="B42" t="inlineStr">
        <is>
          <t>POI Sample 41</t>
        </is>
      </c>
      <c r="C42" s="2" t="n">
        <v>-6.145749165956937</v>
      </c>
      <c r="D42" s="2" t="n">
        <v>106.9042710965822</v>
      </c>
      <c r="E42" s="2" t="n">
        <v>0.6611911006824495</v>
      </c>
      <c r="F42" s="2" t="n">
        <v>3873.813453568628</v>
      </c>
      <c r="G42" s="2" t="n">
        <v>102.9676584344315</v>
      </c>
      <c r="H42" s="2" t="n">
        <v>12</v>
      </c>
      <c r="I42" s="2" t="n">
        <v>8</v>
      </c>
    </row>
    <row r="43">
      <c r="A43" t="n">
        <v>42</v>
      </c>
      <c r="B43" t="inlineStr">
        <is>
          <t>POI Sample 42</t>
        </is>
      </c>
      <c r="C43" s="2" t="n">
        <v>-6.160989807783081</v>
      </c>
      <c r="D43" s="2" t="n">
        <v>106.9822746715054</v>
      </c>
      <c r="E43" s="2" t="n">
        <v>0.7089355081196087</v>
      </c>
      <c r="F43" s="2" t="n">
        <v>13997.71014117154</v>
      </c>
      <c r="G43" s="2" t="n">
        <v>521.7350861608945</v>
      </c>
      <c r="H43" s="2" t="n">
        <v>19</v>
      </c>
      <c r="I43" s="2" t="n">
        <v>6</v>
      </c>
    </row>
    <row r="44">
      <c r="A44" t="n">
        <v>43</v>
      </c>
      <c r="B44" t="inlineStr">
        <is>
          <t>POI Sample 43</t>
        </is>
      </c>
      <c r="C44" s="2" t="n">
        <v>-6.062277020912112</v>
      </c>
      <c r="D44" s="2" t="n">
        <v>106.8260437347219</v>
      </c>
      <c r="E44" s="2" t="n">
        <v>0.6651193635105649</v>
      </c>
      <c r="F44" s="2" t="n">
        <v>6001.357438946957</v>
      </c>
      <c r="G44" s="2" t="n">
        <v>1332.276856984082</v>
      </c>
      <c r="H44" s="2" t="n">
        <v>9</v>
      </c>
      <c r="I44" s="2" t="n">
        <v>9</v>
      </c>
    </row>
    <row r="45">
      <c r="A45" t="n">
        <v>44</v>
      </c>
      <c r="B45" t="inlineStr">
        <is>
          <t>POI Sample 44</t>
        </is>
      </c>
      <c r="C45" s="2" t="n">
        <v>-6.089914311757204</v>
      </c>
      <c r="D45" s="2" t="n">
        <v>106.8495774677956</v>
      </c>
      <c r="E45" s="2" t="n">
        <v>0.8630676411793187</v>
      </c>
      <c r="F45" s="2" t="n">
        <v>4493.163994952994</v>
      </c>
      <c r="G45" s="2" t="n">
        <v>194.7386618761614</v>
      </c>
      <c r="H45" s="2" t="n">
        <v>17</v>
      </c>
      <c r="I45" s="2" t="n">
        <v>2</v>
      </c>
    </row>
    <row r="46">
      <c r="A46" t="n">
        <v>45</v>
      </c>
      <c r="B46" t="inlineStr">
        <is>
          <t>POI Sample 45</t>
        </is>
      </c>
      <c r="C46" s="2" t="n">
        <v>-6.081646770952932</v>
      </c>
      <c r="D46" s="2" t="n">
        <v>106.830705877271</v>
      </c>
      <c r="E46" s="2" t="n">
        <v>0.8135249103526945</v>
      </c>
      <c r="F46" s="2" t="n">
        <v>13382.73686260624</v>
      </c>
      <c r="G46" s="2" t="n">
        <v>319.7000640027948</v>
      </c>
      <c r="H46" s="2" t="n">
        <v>10</v>
      </c>
      <c r="I46" s="2" t="n">
        <v>13</v>
      </c>
    </row>
    <row r="47">
      <c r="A47" t="n">
        <v>46</v>
      </c>
      <c r="B47" t="inlineStr">
        <is>
          <t>POI Sample 46</t>
        </is>
      </c>
      <c r="C47" s="2" t="n">
        <v>-6.07686495428311</v>
      </c>
      <c r="D47" s="2" t="n">
        <v>106.8398398128243</v>
      </c>
      <c r="E47" s="2" t="n">
        <v>0.5377941850251752</v>
      </c>
      <c r="F47" s="2" t="n">
        <v>8842.479792283541</v>
      </c>
      <c r="G47" s="2" t="n">
        <v>132.453976238436</v>
      </c>
      <c r="H47" s="2" t="n">
        <v>18</v>
      </c>
      <c r="I47" s="2" t="n">
        <v>10</v>
      </c>
    </row>
    <row r="48">
      <c r="A48" t="n">
        <v>47</v>
      </c>
      <c r="B48" t="inlineStr">
        <is>
          <t>POI Sample 47</t>
        </is>
      </c>
      <c r="C48" s="2" t="n">
        <v>-6.191394135620549</v>
      </c>
      <c r="D48" s="2" t="n">
        <v>106.9965463448991</v>
      </c>
      <c r="E48" s="2" t="n">
        <v>0.842119129128218</v>
      </c>
      <c r="F48" s="2" t="n">
        <v>5638.179555725788</v>
      </c>
      <c r="G48" s="2" t="n">
        <v>2592.71754428543</v>
      </c>
      <c r="H48" s="2" t="n">
        <v>15</v>
      </c>
      <c r="I48" s="2" t="n">
        <v>1</v>
      </c>
    </row>
    <row r="49">
      <c r="A49" t="n">
        <v>48</v>
      </c>
      <c r="B49" t="inlineStr">
        <is>
          <t>POI Sample 48</t>
        </is>
      </c>
      <c r="C49" s="2" t="n">
        <v>-6.303749317290002</v>
      </c>
      <c r="D49" s="2" t="n">
        <v>106.89829069615</v>
      </c>
      <c r="E49" s="2" t="n">
        <v>0.6189511268570023</v>
      </c>
      <c r="F49" s="2" t="n">
        <v>3153.31804407661</v>
      </c>
      <c r="G49" s="2" t="n">
        <v>129.0526091797381</v>
      </c>
      <c r="H49" s="2" t="n">
        <v>9</v>
      </c>
      <c r="I49" s="2" t="n">
        <v>7</v>
      </c>
    </row>
    <row r="50">
      <c r="A50" t="n">
        <v>49</v>
      </c>
      <c r="B50" t="inlineStr">
        <is>
          <t>POI Sample 49</t>
        </is>
      </c>
      <c r="C50" s="2" t="n">
        <v>-6.281481572762442</v>
      </c>
      <c r="D50" s="2" t="n">
        <v>106.8399601217905</v>
      </c>
      <c r="E50" s="2" t="n">
        <v>0.4557586687117645</v>
      </c>
      <c r="F50" s="2" t="n">
        <v>1600.272981820058</v>
      </c>
      <c r="G50" s="2" t="n">
        <v>355.0605665891813</v>
      </c>
      <c r="H50" s="2" t="n">
        <v>13</v>
      </c>
      <c r="I50" s="2" t="n">
        <v>6</v>
      </c>
    </row>
    <row r="51">
      <c r="A51" t="n">
        <v>50</v>
      </c>
      <c r="B51" t="inlineStr">
        <is>
          <t>POI Sample 50</t>
        </is>
      </c>
      <c r="C51" s="2" t="n">
        <v>-6.086921688600905</v>
      </c>
      <c r="D51" s="2" t="n">
        <v>106.8181004337082</v>
      </c>
      <c r="E51" s="2" t="n">
        <v>0.7472561283668469</v>
      </c>
      <c r="F51" s="2" t="n">
        <v>4105.24573663201</v>
      </c>
      <c r="G51" s="2" t="n">
        <v>1518.025158474553</v>
      </c>
      <c r="H51" s="2" t="n">
        <v>16</v>
      </c>
      <c r="I51" s="2" t="n">
        <v>6</v>
      </c>
    </row>
    <row r="53">
      <c r="A53" t="inlineStr">
        <is>
          <t>K (target)</t>
        </is>
      </c>
      <c r="B53" s="2" t="n">
        <v>3</v>
      </c>
    </row>
    <row r="54">
      <c r="A54" t="inlineStr">
        <is>
          <t>random_state</t>
        </is>
      </c>
      <c r="B54" s="2" t="n">
        <v>42</v>
      </c>
    </row>
    <row r="55">
      <c r="A55" t="inlineStr">
        <is>
          <t>tolerance</t>
        </is>
      </c>
      <c r="B55" s="2" t="n">
        <v>0.0001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POI ID</t>
        </is>
      </c>
      <c r="B1" s="1" t="inlineStr">
        <is>
          <t>Nama POI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Semantic Score</t>
        </is>
      </c>
      <c r="F1" s="1" t="inlineStr">
        <is>
          <t>Jarak Hotel (m)</t>
        </is>
      </c>
      <c r="G1" s="1" t="inlineStr">
        <is>
          <t>Jarak Halte (m)</t>
        </is>
      </c>
      <c r="H1" s="1" t="inlineStr">
        <is>
          <t>Restoran 500m</t>
        </is>
      </c>
      <c r="I1" s="1" t="inlineStr">
        <is>
          <t>Minimarket 500m</t>
        </is>
      </c>
      <c r="J1" s="1" t="inlineStr">
        <is>
          <t>Z Latitude</t>
        </is>
      </c>
      <c r="K1" s="1" t="inlineStr">
        <is>
          <t>Z Longitude</t>
        </is>
      </c>
      <c r="L1" s="1" t="inlineStr">
        <is>
          <t>Z Semantic Score</t>
        </is>
      </c>
      <c r="M1" s="1" t="inlineStr">
        <is>
          <t>Z Jarak Hotel (m)</t>
        </is>
      </c>
      <c r="N1" s="1" t="inlineStr">
        <is>
          <t>Z Jarak Halte (m)</t>
        </is>
      </c>
      <c r="O1" s="1" t="inlineStr">
        <is>
          <t>Z Restoran 500m</t>
        </is>
      </c>
      <c r="P1" s="1" t="inlineStr">
        <is>
          <t>Z Minimarket 500m</t>
        </is>
      </c>
      <c r="Q1" s="1" t="inlineStr">
        <is>
          <t>Max |Selisih|</t>
        </is>
      </c>
      <c r="R1" s="1" t="inlineStr">
        <is>
          <t>Py Z Latitude</t>
        </is>
      </c>
      <c r="S1" s="1" t="inlineStr">
        <is>
          <t>Py Z Longitude</t>
        </is>
      </c>
      <c r="T1" s="1" t="inlineStr">
        <is>
          <t>Py Z Semantic Score</t>
        </is>
      </c>
      <c r="U1" s="1" t="inlineStr">
        <is>
          <t>Py Z Jarak Hotel (m)</t>
        </is>
      </c>
      <c r="V1" s="1" t="inlineStr">
        <is>
          <t>Py Z Jarak Halte (m)</t>
        </is>
      </c>
      <c r="W1" s="1" t="inlineStr">
        <is>
          <t>Py Z Restoran 500m</t>
        </is>
      </c>
      <c r="X1" s="1" t="inlineStr">
        <is>
          <t>Py Z Minimarket 500m</t>
        </is>
      </c>
    </row>
    <row r="2">
      <c r="A2">
        <f>Data_Awal!A2</f>
        <v/>
      </c>
      <c r="B2">
        <f>Data_Awal!B2</f>
        <v/>
      </c>
      <c r="C2">
        <f>Data_Awal!C2</f>
        <v/>
      </c>
      <c r="D2">
        <f>Data_Awal!D2</f>
        <v/>
      </c>
      <c r="E2">
        <f>Data_Awal!E2</f>
        <v/>
      </c>
      <c r="F2">
        <f>Data_Awal!F2</f>
        <v/>
      </c>
      <c r="G2">
        <f>Data_Awal!G2</f>
        <v/>
      </c>
      <c r="H2">
        <f>Data_Awal!H2</f>
        <v/>
      </c>
      <c r="I2">
        <f>Data_Awal!I2</f>
        <v/>
      </c>
      <c r="J2">
        <f>JIKA(Normalisasi!$C$54=0;0;(Normalisasi!$C$2-Normalisasi!$C$53)/Normalisasi!$C$54)</f>
        <v/>
      </c>
      <c r="K2">
        <f>JIKA(Normalisasi!$D$54=0;0;(Normalisasi!$D$2-Normalisasi!$D$53)/Normalisasi!$D$54)</f>
        <v/>
      </c>
      <c r="L2">
        <f>JIKA(Normalisasi!$E$54=0;0;(Normalisasi!$E$2-Normalisasi!$E$53)/Normalisasi!$E$54)</f>
        <v/>
      </c>
      <c r="M2">
        <f>JIKA(Normalisasi!$F$54=0;0;(Normalisasi!$F$2-Normalisasi!$F$53)/Normalisasi!$F$54)</f>
        <v/>
      </c>
      <c r="N2">
        <f>JIKA(Normalisasi!$G$54=0;0;(Normalisasi!$G$2-Normalisasi!$G$53)/Normalisasi!$G$54)</f>
        <v/>
      </c>
      <c r="O2">
        <f>JIKA(Normalisasi!$H$54=0;0;(Normalisasi!$H$2-Normalisasi!$H$53)/Normalisasi!$H$54)</f>
        <v/>
      </c>
      <c r="P2">
        <f>JIKA(Normalisasi!$I$54=0;0;(Normalisasi!$I$2-Normalisasi!$I$53)/Normalisasi!$I$54)</f>
        <v/>
      </c>
      <c r="Q2">
        <f>MAKS(ABS(Normalisasi!$J$2-Normalisasi!$R$2);ABS(Normalisasi!$K$2-Normalisasi!$S$2);ABS(Normalisasi!$L$2-Normalisasi!$T$2);ABS(Normalisasi!$M$2-Normalisasi!$U$2);ABS(Normalisasi!$N$2-Normalisasi!$V$2);ABS(Normalisasi!$O$2-Normalisasi!$W$2);ABS(Normalisasi!$P$2-Normalisasi!$X$2))</f>
        <v/>
      </c>
      <c r="R2" t="n">
        <v>0.8782393249195914</v>
      </c>
      <c r="S2" t="n">
        <v>-0.5219072141554126</v>
      </c>
      <c r="T2" t="n">
        <v>1.568016892037279</v>
      </c>
      <c r="U2" t="n">
        <v>-1.207758573908081</v>
      </c>
      <c r="V2" t="n">
        <v>0.1647700947818264</v>
      </c>
      <c r="W2" t="n">
        <v>-0.8009641783406799</v>
      </c>
      <c r="X2" t="n">
        <v>1.451936018081532</v>
      </c>
    </row>
    <row r="3">
      <c r="A3">
        <f>Data_Awal!A3</f>
        <v/>
      </c>
      <c r="B3">
        <f>Data_Awal!B3</f>
        <v/>
      </c>
      <c r="C3">
        <f>Data_Awal!C3</f>
        <v/>
      </c>
      <c r="D3">
        <f>Data_Awal!D3</f>
        <v/>
      </c>
      <c r="E3">
        <f>Data_Awal!E3</f>
        <v/>
      </c>
      <c r="F3">
        <f>Data_Awal!F3</f>
        <v/>
      </c>
      <c r="G3">
        <f>Data_Awal!G3</f>
        <v/>
      </c>
      <c r="H3">
        <f>Data_Awal!H3</f>
        <v/>
      </c>
      <c r="I3">
        <f>Data_Awal!I3</f>
        <v/>
      </c>
      <c r="J3">
        <f>JIKA(Normalisasi!$C$54=0;0;(Normalisasi!$C$3-Normalisasi!$C$53)/Normalisasi!$C$54)</f>
        <v/>
      </c>
      <c r="K3">
        <f>JIKA(Normalisasi!$D$54=0;0;(Normalisasi!$D$3-Normalisasi!$D$53)/Normalisasi!$D$54)</f>
        <v/>
      </c>
      <c r="L3">
        <f>JIKA(Normalisasi!$E$54=0;0;(Normalisasi!$E$3-Normalisasi!$E$53)/Normalisasi!$E$54)</f>
        <v/>
      </c>
      <c r="M3">
        <f>JIKA(Normalisasi!$F$54=0;0;(Normalisasi!$F$3-Normalisasi!$F$53)/Normalisasi!$F$54)</f>
        <v/>
      </c>
      <c r="N3">
        <f>JIKA(Normalisasi!$G$54=0;0;(Normalisasi!$G$3-Normalisasi!$G$53)/Normalisasi!$G$54)</f>
        <v/>
      </c>
      <c r="O3">
        <f>JIKA(Normalisasi!$H$54=0;0;(Normalisasi!$H$3-Normalisasi!$H$53)/Normalisasi!$H$54)</f>
        <v/>
      </c>
      <c r="P3">
        <f>JIKA(Normalisasi!$I$54=0;0;(Normalisasi!$I$3-Normalisasi!$I$53)/Normalisasi!$I$54)</f>
        <v/>
      </c>
      <c r="Q3">
        <f>MAKS(ABS(Normalisasi!$J$3-Normalisasi!$R$3);ABS(Normalisasi!$K$3-Normalisasi!$S$3);ABS(Normalisasi!$L$3-Normalisasi!$T$3);ABS(Normalisasi!$M$3-Normalisasi!$U$3);ABS(Normalisasi!$N$3-Normalisasi!$V$3);ABS(Normalisasi!$O$3-Normalisasi!$W$3);ABS(Normalisasi!$P$3-Normalisasi!$X$3))</f>
        <v/>
      </c>
      <c r="R3" t="n">
        <v>-1.152698125471972</v>
      </c>
      <c r="S3" t="n">
        <v>-0.9487516090729997</v>
      </c>
      <c r="T3" t="n">
        <v>-1.515232468371633</v>
      </c>
      <c r="U3" t="n">
        <v>1.14525889921921</v>
      </c>
      <c r="V3" t="n">
        <v>0.6572202528308174</v>
      </c>
      <c r="W3" t="n">
        <v>0.6606492857846482</v>
      </c>
      <c r="X3" t="n">
        <v>-0.5438523229240101</v>
      </c>
    </row>
    <row r="4">
      <c r="A4">
        <f>Data_Awal!A4</f>
        <v/>
      </c>
      <c r="B4">
        <f>Data_Awal!B4</f>
        <v/>
      </c>
      <c r="C4">
        <f>Data_Awal!C4</f>
        <v/>
      </c>
      <c r="D4">
        <f>Data_Awal!D4</f>
        <v/>
      </c>
      <c r="E4">
        <f>Data_Awal!E4</f>
        <v/>
      </c>
      <c r="F4">
        <f>Data_Awal!F4</f>
        <v/>
      </c>
      <c r="G4">
        <f>Data_Awal!G4</f>
        <v/>
      </c>
      <c r="H4">
        <f>Data_Awal!H4</f>
        <v/>
      </c>
      <c r="I4">
        <f>Data_Awal!I4</f>
        <v/>
      </c>
      <c r="J4">
        <f>JIKA(Normalisasi!$C$54=0;0;(Normalisasi!$C$4-Normalisasi!$C$53)/Normalisasi!$C$54)</f>
        <v/>
      </c>
      <c r="K4">
        <f>JIKA(Normalisasi!$D$54=0;0;(Normalisasi!$D$4-Normalisasi!$D$53)/Normalisasi!$D$54)</f>
        <v/>
      </c>
      <c r="L4">
        <f>JIKA(Normalisasi!$E$54=0;0;(Normalisasi!$E$4-Normalisasi!$E$53)/Normalisasi!$E$54)</f>
        <v/>
      </c>
      <c r="M4">
        <f>JIKA(Normalisasi!$F$54=0;0;(Normalisasi!$F$4-Normalisasi!$F$53)/Normalisasi!$F$54)</f>
        <v/>
      </c>
      <c r="N4">
        <f>JIKA(Normalisasi!$G$54=0;0;(Normalisasi!$G$4-Normalisasi!$G$53)/Normalisasi!$G$54)</f>
        <v/>
      </c>
      <c r="O4">
        <f>JIKA(Normalisasi!$H$54=0;0;(Normalisasi!$H$4-Normalisasi!$H$53)/Normalisasi!$H$54)</f>
        <v/>
      </c>
      <c r="P4">
        <f>JIKA(Normalisasi!$I$54=0;0;(Normalisasi!$I$4-Normalisasi!$I$53)/Normalisasi!$I$54)</f>
        <v/>
      </c>
      <c r="Q4">
        <f>MAKS(ABS(Normalisasi!$J$4-Normalisasi!$R$4);ABS(Normalisasi!$K$4-Normalisasi!$S$4);ABS(Normalisasi!$L$4-Normalisasi!$T$4);ABS(Normalisasi!$M$4-Normalisasi!$U$4);ABS(Normalisasi!$N$4-Normalisasi!$V$4);ABS(Normalisasi!$O$4-Normalisasi!$W$4);ABS(Normalisasi!$P$4-Normalisasi!$X$4))</f>
        <v/>
      </c>
      <c r="R4" t="n">
        <v>-0.2598705655519383</v>
      </c>
      <c r="S4" t="n">
        <v>1.063098263904947</v>
      </c>
      <c r="T4" t="n">
        <v>1.075469491079202</v>
      </c>
      <c r="U4" t="n">
        <v>1.343207358209632</v>
      </c>
      <c r="V4" t="n">
        <v>-0.7820284357855727</v>
      </c>
      <c r="W4" t="n">
        <v>-0.2163187926905486</v>
      </c>
      <c r="X4" t="n">
        <v>-0.5438523229240101</v>
      </c>
    </row>
    <row r="5">
      <c r="A5">
        <f>Data_Awal!A5</f>
        <v/>
      </c>
      <c r="B5">
        <f>Data_Awal!B5</f>
        <v/>
      </c>
      <c r="C5">
        <f>Data_Awal!C5</f>
        <v/>
      </c>
      <c r="D5">
        <f>Data_Awal!D5</f>
        <v/>
      </c>
      <c r="E5">
        <f>Data_Awal!E5</f>
        <v/>
      </c>
      <c r="F5">
        <f>Data_Awal!F5</f>
        <v/>
      </c>
      <c r="G5">
        <f>Data_Awal!G5</f>
        <v/>
      </c>
      <c r="H5">
        <f>Data_Awal!H5</f>
        <v/>
      </c>
      <c r="I5">
        <f>Data_Awal!I5</f>
        <v/>
      </c>
      <c r="J5">
        <f>JIKA(Normalisasi!$C$54=0;0;(Normalisasi!$C$5-Normalisasi!$C$53)/Normalisasi!$C$54)</f>
        <v/>
      </c>
      <c r="K5">
        <f>JIKA(Normalisasi!$D$54=0;0;(Normalisasi!$D$5-Normalisasi!$D$53)/Normalisasi!$D$54)</f>
        <v/>
      </c>
      <c r="L5">
        <f>JIKA(Normalisasi!$E$54=0;0;(Normalisasi!$E$5-Normalisasi!$E$53)/Normalisasi!$E$54)</f>
        <v/>
      </c>
      <c r="M5">
        <f>JIKA(Normalisasi!$F$54=0;0;(Normalisasi!$F$5-Normalisasi!$F$53)/Normalisasi!$F$54)</f>
        <v/>
      </c>
      <c r="N5">
        <f>JIKA(Normalisasi!$G$54=0;0;(Normalisasi!$G$5-Normalisasi!$G$53)/Normalisasi!$G$54)</f>
        <v/>
      </c>
      <c r="O5">
        <f>JIKA(Normalisasi!$H$54=0;0;(Normalisasi!$H$5-Normalisasi!$H$53)/Normalisasi!$H$54)</f>
        <v/>
      </c>
      <c r="P5">
        <f>JIKA(Normalisasi!$I$54=0;0;(Normalisasi!$I$5-Normalisasi!$I$53)/Normalisasi!$I$54)</f>
        <v/>
      </c>
      <c r="Q5">
        <f>MAKS(ABS(Normalisasi!$J$5-Normalisasi!$R$5);ABS(Normalisasi!$K$5-Normalisasi!$S$5);ABS(Normalisasi!$L$5-Normalisasi!$T$5);ABS(Normalisasi!$M$5-Normalisasi!$U$5);ABS(Normalisasi!$N$5-Normalisasi!$V$5);ABS(Normalisasi!$O$5-Normalisasi!$W$5);ABS(Normalisasi!$P$5-Normalisasi!$X$5))</f>
        <v/>
      </c>
      <c r="R5" t="n">
        <v>0.5830494967933245</v>
      </c>
      <c r="S5" t="n">
        <v>-1.682368056606011</v>
      </c>
      <c r="T5" t="n">
        <v>-1.702791710661776</v>
      </c>
      <c r="U5" t="n">
        <v>-1.04859895042348</v>
      </c>
      <c r="V5" t="n">
        <v>-1.140172123548853</v>
      </c>
      <c r="W5" t="n">
        <v>-0.3624801391030815</v>
      </c>
      <c r="X5" t="n">
        <v>-0.2943787802983173</v>
      </c>
    </row>
    <row r="6">
      <c r="A6">
        <f>Data_Awal!A6</f>
        <v/>
      </c>
      <c r="B6">
        <f>Data_Awal!B6</f>
        <v/>
      </c>
      <c r="C6">
        <f>Data_Awal!C6</f>
        <v/>
      </c>
      <c r="D6">
        <f>Data_Awal!D6</f>
        <v/>
      </c>
      <c r="E6">
        <f>Data_Awal!E6</f>
        <v/>
      </c>
      <c r="F6">
        <f>Data_Awal!F6</f>
        <v/>
      </c>
      <c r="G6">
        <f>Data_Awal!G6</f>
        <v/>
      </c>
      <c r="H6">
        <f>Data_Awal!H6</f>
        <v/>
      </c>
      <c r="I6">
        <f>Data_Awal!I6</f>
        <v/>
      </c>
      <c r="J6">
        <f>JIKA(Normalisasi!$C$54=0;0;(Normalisasi!$C$6-Normalisasi!$C$53)/Normalisasi!$C$54)</f>
        <v/>
      </c>
      <c r="K6">
        <f>JIKA(Normalisasi!$D$54=0;0;(Normalisasi!$D$6-Normalisasi!$D$53)/Normalisasi!$D$54)</f>
        <v/>
      </c>
      <c r="L6">
        <f>JIKA(Normalisasi!$E$54=0;0;(Normalisasi!$E$6-Normalisasi!$E$53)/Normalisasi!$E$54)</f>
        <v/>
      </c>
      <c r="M6">
        <f>JIKA(Normalisasi!$F$54=0;0;(Normalisasi!$F$6-Normalisasi!$F$53)/Normalisasi!$F$54)</f>
        <v/>
      </c>
      <c r="N6">
        <f>JIKA(Normalisasi!$G$54=0;0;(Normalisasi!$G$6-Normalisasi!$G$53)/Normalisasi!$G$54)</f>
        <v/>
      </c>
      <c r="O6">
        <f>JIKA(Normalisasi!$H$54=0;0;(Normalisasi!$H$6-Normalisasi!$H$53)/Normalisasi!$H$54)</f>
        <v/>
      </c>
      <c r="P6">
        <f>JIKA(Normalisasi!$I$54=0;0;(Normalisasi!$I$6-Normalisasi!$I$53)/Normalisasi!$I$54)</f>
        <v/>
      </c>
      <c r="Q6">
        <f>MAKS(ABS(Normalisasi!$J$6-Normalisasi!$R$6);ABS(Normalisasi!$K$6-Normalisasi!$S$6);ABS(Normalisasi!$L$6-Normalisasi!$T$6);ABS(Normalisasi!$M$6-Normalisasi!$U$6);ABS(Normalisasi!$N$6-Normalisasi!$V$6);ABS(Normalisasi!$O$6-Normalisasi!$W$6);ABS(Normalisasi!$P$6-Normalisasi!$X$6))</f>
        <v/>
      </c>
      <c r="R6" t="n">
        <v>-1.376422079370822</v>
      </c>
      <c r="S6" t="n">
        <v>1.055311030339803</v>
      </c>
      <c r="T6" t="n">
        <v>0.601494842437305</v>
      </c>
      <c r="U6" t="n">
        <v>0.4426716983655</v>
      </c>
      <c r="V6" t="n">
        <v>-1.273910701370573</v>
      </c>
      <c r="W6" t="n">
        <v>-1.239448217578278</v>
      </c>
      <c r="X6" t="n">
        <v>-0.7933258655497027</v>
      </c>
    </row>
    <row r="7">
      <c r="A7">
        <f>Data_Awal!A7</f>
        <v/>
      </c>
      <c r="B7">
        <f>Data_Awal!B7</f>
        <v/>
      </c>
      <c r="C7">
        <f>Data_Awal!C7</f>
        <v/>
      </c>
      <c r="D7">
        <f>Data_Awal!D7</f>
        <v/>
      </c>
      <c r="E7">
        <f>Data_Awal!E7</f>
        <v/>
      </c>
      <c r="F7">
        <f>Data_Awal!F7</f>
        <v/>
      </c>
      <c r="G7">
        <f>Data_Awal!G7</f>
        <v/>
      </c>
      <c r="H7">
        <f>Data_Awal!H7</f>
        <v/>
      </c>
      <c r="I7">
        <f>Data_Awal!I7</f>
        <v/>
      </c>
      <c r="J7">
        <f>JIKA(Normalisasi!$C$54=0;0;(Normalisasi!$C$7-Normalisasi!$C$53)/Normalisasi!$C$54)</f>
        <v/>
      </c>
      <c r="K7">
        <f>JIKA(Normalisasi!$D$54=0;0;(Normalisasi!$D$7-Normalisasi!$D$53)/Normalisasi!$D$54)</f>
        <v/>
      </c>
      <c r="L7">
        <f>JIKA(Normalisasi!$E$54=0;0;(Normalisasi!$E$7-Normalisasi!$E$53)/Normalisasi!$E$54)</f>
        <v/>
      </c>
      <c r="M7">
        <f>JIKA(Normalisasi!$F$54=0;0;(Normalisasi!$F$7-Normalisasi!$F$53)/Normalisasi!$F$54)</f>
        <v/>
      </c>
      <c r="N7">
        <f>JIKA(Normalisasi!$G$54=0;0;(Normalisasi!$G$7-Normalisasi!$G$53)/Normalisasi!$G$54)</f>
        <v/>
      </c>
      <c r="O7">
        <f>JIKA(Normalisasi!$H$54=0;0;(Normalisasi!$H$7-Normalisasi!$H$53)/Normalisasi!$H$54)</f>
        <v/>
      </c>
      <c r="P7">
        <f>JIKA(Normalisasi!$I$54=0;0;(Normalisasi!$I$7-Normalisasi!$I$53)/Normalisasi!$I$54)</f>
        <v/>
      </c>
      <c r="Q7">
        <f>MAKS(ABS(Normalisasi!$J$7-Normalisasi!$R$7);ABS(Normalisasi!$K$7-Normalisasi!$S$7);ABS(Normalisasi!$L$7-Normalisasi!$T$7);ABS(Normalisasi!$M$7-Normalisasi!$U$7);ABS(Normalisasi!$N$7-Normalisasi!$V$7);ABS(Normalisasi!$O$7-Normalisasi!$W$7);ABS(Normalisasi!$P$7-Normalisasi!$X$7))</f>
        <v/>
      </c>
      <c r="R7" t="n">
        <v>-0.7133661923833098</v>
      </c>
      <c r="S7" t="n">
        <v>0.6834035721894346</v>
      </c>
      <c r="T7" t="n">
        <v>-0.03775073041946778</v>
      </c>
      <c r="U7" t="n">
        <v>-1.422332257395084</v>
      </c>
      <c r="V7" t="n">
        <v>0.9818336336941492</v>
      </c>
      <c r="W7" t="n">
        <v>0.6606492857846482</v>
      </c>
      <c r="X7" t="n">
        <v>1.202462475455839</v>
      </c>
    </row>
    <row r="8">
      <c r="A8">
        <f>Data_Awal!A8</f>
        <v/>
      </c>
      <c r="B8">
        <f>Data_Awal!B8</f>
        <v/>
      </c>
      <c r="C8">
        <f>Data_Awal!C8</f>
        <v/>
      </c>
      <c r="D8">
        <f>Data_Awal!D8</f>
        <v/>
      </c>
      <c r="E8">
        <f>Data_Awal!E8</f>
        <v/>
      </c>
      <c r="F8">
        <f>Data_Awal!F8</f>
        <v/>
      </c>
      <c r="G8">
        <f>Data_Awal!G8</f>
        <v/>
      </c>
      <c r="H8">
        <f>Data_Awal!H8</f>
        <v/>
      </c>
      <c r="I8">
        <f>Data_Awal!I8</f>
        <v/>
      </c>
      <c r="J8">
        <f>JIKA(Normalisasi!$C$54=0;0;(Normalisasi!$C$8-Normalisasi!$C$53)/Normalisasi!$C$54)</f>
        <v/>
      </c>
      <c r="K8">
        <f>JIKA(Normalisasi!$D$54=0;0;(Normalisasi!$D$8-Normalisasi!$D$53)/Normalisasi!$D$54)</f>
        <v/>
      </c>
      <c r="L8">
        <f>JIKA(Normalisasi!$E$54=0;0;(Normalisasi!$E$8-Normalisasi!$E$53)/Normalisasi!$E$54)</f>
        <v/>
      </c>
      <c r="M8">
        <f>JIKA(Normalisasi!$F$54=0;0;(Normalisasi!$F$8-Normalisasi!$F$53)/Normalisasi!$F$54)</f>
        <v/>
      </c>
      <c r="N8">
        <f>JIKA(Normalisasi!$G$54=0;0;(Normalisasi!$G$8-Normalisasi!$G$53)/Normalisasi!$G$54)</f>
        <v/>
      </c>
      <c r="O8">
        <f>JIKA(Normalisasi!$H$54=0;0;(Normalisasi!$H$8-Normalisasi!$H$53)/Normalisasi!$H$54)</f>
        <v/>
      </c>
      <c r="P8">
        <f>JIKA(Normalisasi!$I$54=0;0;(Normalisasi!$I$8-Normalisasi!$I$53)/Normalisasi!$I$54)</f>
        <v/>
      </c>
      <c r="Q8">
        <f>MAKS(ABS(Normalisasi!$J$8-Normalisasi!$R$8);ABS(Normalisasi!$K$8-Normalisasi!$S$8);ABS(Normalisasi!$L$8-Normalisasi!$T$8);ABS(Normalisasi!$M$8-Normalisasi!$U$8);ABS(Normalisasi!$N$8-Normalisasi!$V$8);ABS(Normalisasi!$O$8-Normalisasi!$W$8);ABS(Normalisasi!$P$8-Normalisasi!$X$8))</f>
        <v/>
      </c>
      <c r="R8" t="n">
        <v>0.6139891261225052</v>
      </c>
      <c r="S8" t="n">
        <v>1.228365629633683</v>
      </c>
      <c r="T8" t="n">
        <v>-1.493546677086655</v>
      </c>
      <c r="U8" t="n">
        <v>-0.9380709267233098</v>
      </c>
      <c r="V8" t="n">
        <v>0.5226447310485584</v>
      </c>
      <c r="W8" t="n">
        <v>-0.9471255247532127</v>
      </c>
      <c r="X8" t="n">
        <v>-1.541746493426781</v>
      </c>
    </row>
    <row r="9">
      <c r="A9">
        <f>Data_Awal!A9</f>
        <v/>
      </c>
      <c r="B9">
        <f>Data_Awal!B9</f>
        <v/>
      </c>
      <c r="C9">
        <f>Data_Awal!C9</f>
        <v/>
      </c>
      <c r="D9">
        <f>Data_Awal!D9</f>
        <v/>
      </c>
      <c r="E9">
        <f>Data_Awal!E9</f>
        <v/>
      </c>
      <c r="F9">
        <f>Data_Awal!F9</f>
        <v/>
      </c>
      <c r="G9">
        <f>Data_Awal!G9</f>
        <v/>
      </c>
      <c r="H9">
        <f>Data_Awal!H9</f>
        <v/>
      </c>
      <c r="I9">
        <f>Data_Awal!I9</f>
        <v/>
      </c>
      <c r="J9">
        <f>JIKA(Normalisasi!$C$54=0;0;(Normalisasi!$C$9-Normalisasi!$C$53)/Normalisasi!$C$54)</f>
        <v/>
      </c>
      <c r="K9">
        <f>JIKA(Normalisasi!$D$54=0;0;(Normalisasi!$D$9-Normalisasi!$D$53)/Normalisasi!$D$54)</f>
        <v/>
      </c>
      <c r="L9">
        <f>JIKA(Normalisasi!$E$54=0;0;(Normalisasi!$E$9-Normalisasi!$E$53)/Normalisasi!$E$54)</f>
        <v/>
      </c>
      <c r="M9">
        <f>JIKA(Normalisasi!$F$54=0;0;(Normalisasi!$F$9-Normalisasi!$F$53)/Normalisasi!$F$54)</f>
        <v/>
      </c>
      <c r="N9">
        <f>JIKA(Normalisasi!$G$54=0;0;(Normalisasi!$G$9-Normalisasi!$G$53)/Normalisasi!$G$54)</f>
        <v/>
      </c>
      <c r="O9">
        <f>JIKA(Normalisasi!$H$54=0;0;(Normalisasi!$H$9-Normalisasi!$H$53)/Normalisasi!$H$54)</f>
        <v/>
      </c>
      <c r="P9">
        <f>JIKA(Normalisasi!$I$54=0;0;(Normalisasi!$I$9-Normalisasi!$I$53)/Normalisasi!$I$54)</f>
        <v/>
      </c>
      <c r="Q9">
        <f>MAKS(ABS(Normalisasi!$J$9-Normalisasi!$R$9);ABS(Normalisasi!$K$9-Normalisasi!$S$9);ABS(Normalisasi!$L$9-Normalisasi!$T$9);ABS(Normalisasi!$M$9-Normalisasi!$U$9);ABS(Normalisasi!$N$9-Normalisasi!$V$9);ABS(Normalisasi!$O$9-Normalisasi!$W$9);ABS(Normalisasi!$P$9-Normalisasi!$X$9))</f>
        <v/>
      </c>
      <c r="R9" t="n">
        <v>0.9079186673723165</v>
      </c>
      <c r="S9" t="n">
        <v>-1.25419228255248</v>
      </c>
      <c r="T9" t="n">
        <v>0.5251244501288113</v>
      </c>
      <c r="U9" t="n">
        <v>1.078020389406785</v>
      </c>
      <c r="V9" t="n">
        <v>1.375493413520262</v>
      </c>
      <c r="W9" t="n">
        <v>-1.531770910403344</v>
      </c>
      <c r="X9" t="n">
        <v>-0.7933258655497027</v>
      </c>
    </row>
    <row r="10">
      <c r="A10">
        <f>Data_Awal!A10</f>
        <v/>
      </c>
      <c r="B10">
        <f>Data_Awal!B10</f>
        <v/>
      </c>
      <c r="C10">
        <f>Data_Awal!C10</f>
        <v/>
      </c>
      <c r="D10">
        <f>Data_Awal!D10</f>
        <v/>
      </c>
      <c r="E10">
        <f>Data_Awal!E10</f>
        <v/>
      </c>
      <c r="F10">
        <f>Data_Awal!F10</f>
        <v/>
      </c>
      <c r="G10">
        <f>Data_Awal!G10</f>
        <v/>
      </c>
      <c r="H10">
        <f>Data_Awal!H10</f>
        <v/>
      </c>
      <c r="I10">
        <f>Data_Awal!I10</f>
        <v/>
      </c>
      <c r="J10">
        <f>JIKA(Normalisasi!$C$54=0;0;(Normalisasi!$C$10-Normalisasi!$C$53)/Normalisasi!$C$54)</f>
        <v/>
      </c>
      <c r="K10">
        <f>JIKA(Normalisasi!$D$54=0;0;(Normalisasi!$D$10-Normalisasi!$D$53)/Normalisasi!$D$54)</f>
        <v/>
      </c>
      <c r="L10">
        <f>JIKA(Normalisasi!$E$54=0;0;(Normalisasi!$E$10-Normalisasi!$E$53)/Normalisasi!$E$54)</f>
        <v/>
      </c>
      <c r="M10">
        <f>JIKA(Normalisasi!$F$54=0;0;(Normalisasi!$F$10-Normalisasi!$F$53)/Normalisasi!$F$54)</f>
        <v/>
      </c>
      <c r="N10">
        <f>JIKA(Normalisasi!$G$54=0;0;(Normalisasi!$G$10-Normalisasi!$G$53)/Normalisasi!$G$54)</f>
        <v/>
      </c>
      <c r="O10">
        <f>JIKA(Normalisasi!$H$54=0;0;(Normalisasi!$H$10-Normalisasi!$H$53)/Normalisasi!$H$54)</f>
        <v/>
      </c>
      <c r="P10">
        <f>JIKA(Normalisasi!$I$54=0;0;(Normalisasi!$I$10-Normalisasi!$I$53)/Normalisasi!$I$54)</f>
        <v/>
      </c>
      <c r="Q10">
        <f>MAKS(ABS(Normalisasi!$J$10-Normalisasi!$R$10);ABS(Normalisasi!$K$10-Normalisasi!$S$10);ABS(Normalisasi!$L$10-Normalisasi!$T$10);ABS(Normalisasi!$M$10-Normalisasi!$U$10);ABS(Normalisasi!$N$10-Normalisasi!$V$10);ABS(Normalisasi!$O$10-Normalisasi!$W$10);ABS(Normalisasi!$P$10-Normalisasi!$X$10))</f>
        <v/>
      </c>
      <c r="R10" t="n">
        <v>0.321830060638924</v>
      </c>
      <c r="S10" t="n">
        <v>1.367118647882386</v>
      </c>
      <c r="T10" t="n">
        <v>-1.45106994379821</v>
      </c>
      <c r="U10" t="n">
        <v>-0.1210838838257335</v>
      </c>
      <c r="V10" t="n">
        <v>-0.5625572022444313</v>
      </c>
      <c r="W10" t="n">
        <v>-0.8009641783406799</v>
      </c>
      <c r="X10" t="n">
        <v>0.2045683049530681</v>
      </c>
    </row>
    <row r="11">
      <c r="A11">
        <f>Data_Awal!A11</f>
        <v/>
      </c>
      <c r="B11">
        <f>Data_Awal!B11</f>
        <v/>
      </c>
      <c r="C11">
        <f>Data_Awal!C11</f>
        <v/>
      </c>
      <c r="D11">
        <f>Data_Awal!D11</f>
        <v/>
      </c>
      <c r="E11">
        <f>Data_Awal!E11</f>
        <v/>
      </c>
      <c r="F11">
        <f>Data_Awal!F11</f>
        <v/>
      </c>
      <c r="G11">
        <f>Data_Awal!G11</f>
        <v/>
      </c>
      <c r="H11">
        <f>Data_Awal!H11</f>
        <v/>
      </c>
      <c r="I11">
        <f>Data_Awal!I11</f>
        <v/>
      </c>
      <c r="J11">
        <f>JIKA(Normalisasi!$C$54=0;0;(Normalisasi!$C$11-Normalisasi!$C$53)/Normalisasi!$C$54)</f>
        <v/>
      </c>
      <c r="K11">
        <f>JIKA(Normalisasi!$D$54=0;0;(Normalisasi!$D$11-Normalisasi!$D$53)/Normalisasi!$D$54)</f>
        <v/>
      </c>
      <c r="L11">
        <f>JIKA(Normalisasi!$E$54=0;0;(Normalisasi!$E$11-Normalisasi!$E$53)/Normalisasi!$E$54)</f>
        <v/>
      </c>
      <c r="M11">
        <f>JIKA(Normalisasi!$F$54=0;0;(Normalisasi!$F$11-Normalisasi!$F$53)/Normalisasi!$F$54)</f>
        <v/>
      </c>
      <c r="N11">
        <f>JIKA(Normalisasi!$G$54=0;0;(Normalisasi!$G$11-Normalisasi!$G$53)/Normalisasi!$G$54)</f>
        <v/>
      </c>
      <c r="O11">
        <f>JIKA(Normalisasi!$H$54=0;0;(Normalisasi!$H$11-Normalisasi!$H$53)/Normalisasi!$H$54)</f>
        <v/>
      </c>
      <c r="P11">
        <f>JIKA(Normalisasi!$I$54=0;0;(Normalisasi!$I$11-Normalisasi!$I$53)/Normalisasi!$I$54)</f>
        <v/>
      </c>
      <c r="Q11">
        <f>MAKS(ABS(Normalisasi!$J$11-Normalisasi!$R$11);ABS(Normalisasi!$K$11-Normalisasi!$S$11);ABS(Normalisasi!$L$11-Normalisasi!$T$11);ABS(Normalisasi!$M$11-Normalisasi!$U$11);ABS(Normalisasi!$N$11-Normalisasi!$V$11);ABS(Normalisasi!$O$11-Normalisasi!$W$11);ABS(Normalisasi!$P$11-Normalisasi!$X$11))</f>
        <v/>
      </c>
      <c r="R11" t="n">
        <v>0.01280628794171573</v>
      </c>
      <c r="S11" t="n">
        <v>-0.6641749630230046</v>
      </c>
      <c r="T11" t="n">
        <v>0.4939890391525776</v>
      </c>
      <c r="U11" t="n">
        <v>0.837956062318416</v>
      </c>
      <c r="V11" t="n">
        <v>0.5463853642725943</v>
      </c>
      <c r="W11" t="n">
        <v>0.9529719786097139</v>
      </c>
      <c r="X11" t="n">
        <v>-1.042799408175396</v>
      </c>
    </row>
    <row r="12">
      <c r="A12">
        <f>Data_Awal!A12</f>
        <v/>
      </c>
      <c r="B12">
        <f>Data_Awal!B12</f>
        <v/>
      </c>
      <c r="C12">
        <f>Data_Awal!C12</f>
        <v/>
      </c>
      <c r="D12">
        <f>Data_Awal!D12</f>
        <v/>
      </c>
      <c r="E12">
        <f>Data_Awal!E12</f>
        <v/>
      </c>
      <c r="F12">
        <f>Data_Awal!F12</f>
        <v/>
      </c>
      <c r="G12">
        <f>Data_Awal!G12</f>
        <v/>
      </c>
      <c r="H12">
        <f>Data_Awal!H12</f>
        <v/>
      </c>
      <c r="I12">
        <f>Data_Awal!I12</f>
        <v/>
      </c>
      <c r="J12">
        <f>JIKA(Normalisasi!$C$54=0;0;(Normalisasi!$C$12-Normalisasi!$C$53)/Normalisasi!$C$54)</f>
        <v/>
      </c>
      <c r="K12">
        <f>JIKA(Normalisasi!$D$54=0;0;(Normalisasi!$D$12-Normalisasi!$D$53)/Normalisasi!$D$54)</f>
        <v/>
      </c>
      <c r="L12">
        <f>JIKA(Normalisasi!$E$54=0;0;(Normalisasi!$E$12-Normalisasi!$E$53)/Normalisasi!$E$54)</f>
        <v/>
      </c>
      <c r="M12">
        <f>JIKA(Normalisasi!$F$54=0;0;(Normalisasi!$F$12-Normalisasi!$F$53)/Normalisasi!$F$54)</f>
        <v/>
      </c>
      <c r="N12">
        <f>JIKA(Normalisasi!$G$54=0;0;(Normalisasi!$G$12-Normalisasi!$G$53)/Normalisasi!$G$54)</f>
        <v/>
      </c>
      <c r="O12">
        <f>JIKA(Normalisasi!$H$54=0;0;(Normalisasi!$H$12-Normalisasi!$H$53)/Normalisasi!$H$54)</f>
        <v/>
      </c>
      <c r="P12">
        <f>JIKA(Normalisasi!$I$54=0;0;(Normalisasi!$I$12-Normalisasi!$I$53)/Normalisasi!$I$54)</f>
        <v/>
      </c>
      <c r="Q12">
        <f>MAKS(ABS(Normalisasi!$J$12-Normalisasi!$R$12);ABS(Normalisasi!$K$12-Normalisasi!$S$12);ABS(Normalisasi!$L$12-Normalisasi!$T$12);ABS(Normalisasi!$M$12-Normalisasi!$U$12);ABS(Normalisasi!$N$12-Normalisasi!$V$12);ABS(Normalisasi!$O$12-Normalisasi!$W$12);ABS(Normalisasi!$P$12-Normalisasi!$X$12))</f>
        <v/>
      </c>
      <c r="R12" t="n">
        <v>1.313100077644053</v>
      </c>
      <c r="S12" t="n">
        <v>1.512161966675281</v>
      </c>
      <c r="T12" t="n">
        <v>0.4099075290036702</v>
      </c>
      <c r="U12" t="n">
        <v>-0.6957765928144461</v>
      </c>
      <c r="V12" t="n">
        <v>1.557667502887926</v>
      </c>
      <c r="W12" t="n">
        <v>-0.9471255247532127</v>
      </c>
      <c r="X12" t="n">
        <v>-0.04490523767262462</v>
      </c>
    </row>
    <row r="13">
      <c r="A13">
        <f>Data_Awal!A13</f>
        <v/>
      </c>
      <c r="B13">
        <f>Data_Awal!B13</f>
        <v/>
      </c>
      <c r="C13">
        <f>Data_Awal!C13</f>
        <v/>
      </c>
      <c r="D13">
        <f>Data_Awal!D13</f>
        <v/>
      </c>
      <c r="E13">
        <f>Data_Awal!E13</f>
        <v/>
      </c>
      <c r="F13">
        <f>Data_Awal!F13</f>
        <v/>
      </c>
      <c r="G13">
        <f>Data_Awal!G13</f>
        <v/>
      </c>
      <c r="H13">
        <f>Data_Awal!H13</f>
        <v/>
      </c>
      <c r="I13">
        <f>Data_Awal!I13</f>
        <v/>
      </c>
      <c r="J13">
        <f>JIKA(Normalisasi!$C$54=0;0;(Normalisasi!$C$13-Normalisasi!$C$53)/Normalisasi!$C$54)</f>
        <v/>
      </c>
      <c r="K13">
        <f>JIKA(Normalisasi!$D$54=0;0;(Normalisasi!$D$13-Normalisasi!$D$53)/Normalisasi!$D$54)</f>
        <v/>
      </c>
      <c r="L13">
        <f>JIKA(Normalisasi!$E$54=0;0;(Normalisasi!$E$13-Normalisasi!$E$53)/Normalisasi!$E$54)</f>
        <v/>
      </c>
      <c r="M13">
        <f>JIKA(Normalisasi!$F$54=0;0;(Normalisasi!$F$13-Normalisasi!$F$53)/Normalisasi!$F$54)</f>
        <v/>
      </c>
      <c r="N13">
        <f>JIKA(Normalisasi!$G$54=0;0;(Normalisasi!$G$13-Normalisasi!$G$53)/Normalisasi!$G$54)</f>
        <v/>
      </c>
      <c r="O13">
        <f>JIKA(Normalisasi!$H$54=0;0;(Normalisasi!$H$13-Normalisasi!$H$53)/Normalisasi!$H$54)</f>
        <v/>
      </c>
      <c r="P13">
        <f>JIKA(Normalisasi!$I$54=0;0;(Normalisasi!$I$13-Normalisasi!$I$53)/Normalisasi!$I$54)</f>
        <v/>
      </c>
      <c r="Q13">
        <f>MAKS(ABS(Normalisasi!$J$13-Normalisasi!$R$13);ABS(Normalisasi!$K$13-Normalisasi!$S$13);ABS(Normalisasi!$L$13-Normalisasi!$T$13);ABS(Normalisasi!$M$13-Normalisasi!$U$13);ABS(Normalisasi!$N$13-Normalisasi!$V$13);ABS(Normalisasi!$O$13-Normalisasi!$W$13);ABS(Normalisasi!$P$13-Normalisasi!$X$13))</f>
        <v/>
      </c>
      <c r="R13" t="n">
        <v>-1.042263285657954</v>
      </c>
      <c r="S13" t="n">
        <v>-0.4349147706331516</v>
      </c>
      <c r="T13" t="n">
        <v>-1.611762560020725</v>
      </c>
      <c r="U13" t="n">
        <v>-0.5151250852686704</v>
      </c>
      <c r="V13" t="n">
        <v>1.55850801084526</v>
      </c>
      <c r="W13" t="n">
        <v>-0.3624801391030815</v>
      </c>
      <c r="X13" t="n">
        <v>-1.541746493426781</v>
      </c>
    </row>
    <row r="14">
      <c r="A14">
        <f>Data_Awal!A14</f>
        <v/>
      </c>
      <c r="B14">
        <f>Data_Awal!B14</f>
        <v/>
      </c>
      <c r="C14">
        <f>Data_Awal!C14</f>
        <v/>
      </c>
      <c r="D14">
        <f>Data_Awal!D14</f>
        <v/>
      </c>
      <c r="E14">
        <f>Data_Awal!E14</f>
        <v/>
      </c>
      <c r="F14">
        <f>Data_Awal!F14</f>
        <v/>
      </c>
      <c r="G14">
        <f>Data_Awal!G14</f>
        <v/>
      </c>
      <c r="H14">
        <f>Data_Awal!H14</f>
        <v/>
      </c>
      <c r="I14">
        <f>Data_Awal!I14</f>
        <v/>
      </c>
      <c r="J14">
        <f>JIKA(Normalisasi!$C$54=0;0;(Normalisasi!$C$14-Normalisasi!$C$53)/Normalisasi!$C$54)</f>
        <v/>
      </c>
      <c r="K14">
        <f>JIKA(Normalisasi!$D$54=0;0;(Normalisasi!$D$14-Normalisasi!$D$53)/Normalisasi!$D$54)</f>
        <v/>
      </c>
      <c r="L14">
        <f>JIKA(Normalisasi!$E$54=0;0;(Normalisasi!$E$14-Normalisasi!$E$53)/Normalisasi!$E$54)</f>
        <v/>
      </c>
      <c r="M14">
        <f>JIKA(Normalisasi!$F$54=0;0;(Normalisasi!$F$14-Normalisasi!$F$53)/Normalisasi!$F$54)</f>
        <v/>
      </c>
      <c r="N14">
        <f>JIKA(Normalisasi!$G$54=0;0;(Normalisasi!$G$14-Normalisasi!$G$53)/Normalisasi!$G$54)</f>
        <v/>
      </c>
      <c r="O14">
        <f>JIKA(Normalisasi!$H$54=0;0;(Normalisasi!$H$14-Normalisasi!$H$53)/Normalisasi!$H$54)</f>
        <v/>
      </c>
      <c r="P14">
        <f>JIKA(Normalisasi!$I$54=0;0;(Normalisasi!$I$14-Normalisasi!$I$53)/Normalisasi!$I$54)</f>
        <v/>
      </c>
      <c r="Q14">
        <f>MAKS(ABS(Normalisasi!$J$14-Normalisasi!$R$14);ABS(Normalisasi!$K$14-Normalisasi!$S$14);ABS(Normalisasi!$L$14-Normalisasi!$T$14);ABS(Normalisasi!$M$14-Normalisasi!$U$14);ABS(Normalisasi!$N$14-Normalisasi!$V$14);ABS(Normalisasi!$O$14-Normalisasi!$W$14);ABS(Normalisasi!$P$14-Normalisasi!$X$14))</f>
        <v/>
      </c>
      <c r="R14" t="n">
        <v>1.276645532030801</v>
      </c>
      <c r="S14" t="n">
        <v>-1.380848103415714</v>
      </c>
      <c r="T14" t="n">
        <v>1.031573004072342</v>
      </c>
      <c r="U14" t="n">
        <v>1.110115409788722</v>
      </c>
      <c r="V14" t="n">
        <v>-0.480649924692086</v>
      </c>
      <c r="W14" t="n">
        <v>1.391456017847312</v>
      </c>
      <c r="X14" t="n">
        <v>0.9529889328301463</v>
      </c>
    </row>
    <row r="15">
      <c r="A15">
        <f>Data_Awal!A15</f>
        <v/>
      </c>
      <c r="B15">
        <f>Data_Awal!B15</f>
        <v/>
      </c>
      <c r="C15">
        <f>Data_Awal!C15</f>
        <v/>
      </c>
      <c r="D15">
        <f>Data_Awal!D15</f>
        <v/>
      </c>
      <c r="E15">
        <f>Data_Awal!E15</f>
        <v/>
      </c>
      <c r="F15">
        <f>Data_Awal!F15</f>
        <v/>
      </c>
      <c r="G15">
        <f>Data_Awal!G15</f>
        <v/>
      </c>
      <c r="H15">
        <f>Data_Awal!H15</f>
        <v/>
      </c>
      <c r="I15">
        <f>Data_Awal!I15</f>
        <v/>
      </c>
      <c r="J15">
        <f>JIKA(Normalisasi!$C$54=0;0;(Normalisasi!$C$15-Normalisasi!$C$53)/Normalisasi!$C$54)</f>
        <v/>
      </c>
      <c r="K15">
        <f>JIKA(Normalisasi!$D$54=0;0;(Normalisasi!$D$15-Normalisasi!$D$53)/Normalisasi!$D$54)</f>
        <v/>
      </c>
      <c r="L15">
        <f>JIKA(Normalisasi!$E$54=0;0;(Normalisasi!$E$15-Normalisasi!$E$53)/Normalisasi!$E$54)</f>
        <v/>
      </c>
      <c r="M15">
        <f>JIKA(Normalisasi!$F$54=0;0;(Normalisasi!$F$15-Normalisasi!$F$53)/Normalisasi!$F$54)</f>
        <v/>
      </c>
      <c r="N15">
        <f>JIKA(Normalisasi!$G$54=0;0;(Normalisasi!$G$15-Normalisasi!$G$53)/Normalisasi!$G$54)</f>
        <v/>
      </c>
      <c r="O15">
        <f>JIKA(Normalisasi!$H$54=0;0;(Normalisasi!$H$15-Normalisasi!$H$53)/Normalisasi!$H$54)</f>
        <v/>
      </c>
      <c r="P15">
        <f>JIKA(Normalisasi!$I$54=0;0;(Normalisasi!$I$15-Normalisasi!$I$53)/Normalisasi!$I$54)</f>
        <v/>
      </c>
      <c r="Q15">
        <f>MAKS(ABS(Normalisasi!$J$15-Normalisasi!$R$15);ABS(Normalisasi!$K$15-Normalisasi!$S$15);ABS(Normalisasi!$L$15-Normalisasi!$T$15);ABS(Normalisasi!$M$15-Normalisasi!$U$15);ABS(Normalisasi!$N$15-Normalisasi!$V$15);ABS(Normalisasi!$O$15-Normalisasi!$W$15);ABS(Normalisasi!$P$15-Normalisasi!$X$15))</f>
        <v/>
      </c>
      <c r="R15" t="n">
        <v>-0.9703265436319145</v>
      </c>
      <c r="S15" t="n">
        <v>1.227194195883702</v>
      </c>
      <c r="T15" t="n">
        <v>-0.7969554107969836</v>
      </c>
      <c r="U15" t="n">
        <v>-0.9309951128058622</v>
      </c>
      <c r="V15" t="n">
        <v>-0.6316205059037568</v>
      </c>
      <c r="W15" t="n">
        <v>-1.531770910403344</v>
      </c>
      <c r="X15" t="n">
        <v>0.2045683049530681</v>
      </c>
    </row>
    <row r="16">
      <c r="A16">
        <f>Data_Awal!A16</f>
        <v/>
      </c>
      <c r="B16">
        <f>Data_Awal!B16</f>
        <v/>
      </c>
      <c r="C16">
        <f>Data_Awal!C16</f>
        <v/>
      </c>
      <c r="D16">
        <f>Data_Awal!D16</f>
        <v/>
      </c>
      <c r="E16">
        <f>Data_Awal!E16</f>
        <v/>
      </c>
      <c r="F16">
        <f>Data_Awal!F16</f>
        <v/>
      </c>
      <c r="G16">
        <f>Data_Awal!G16</f>
        <v/>
      </c>
      <c r="H16">
        <f>Data_Awal!H16</f>
        <v/>
      </c>
      <c r="I16">
        <f>Data_Awal!I16</f>
        <v/>
      </c>
      <c r="J16">
        <f>JIKA(Normalisasi!$C$54=0;0;(Normalisasi!$C$16-Normalisasi!$C$53)/Normalisasi!$C$54)</f>
        <v/>
      </c>
      <c r="K16">
        <f>JIKA(Normalisasi!$D$54=0;0;(Normalisasi!$D$16-Normalisasi!$D$53)/Normalisasi!$D$54)</f>
        <v/>
      </c>
      <c r="L16">
        <f>JIKA(Normalisasi!$E$54=0;0;(Normalisasi!$E$16-Normalisasi!$E$53)/Normalisasi!$E$54)</f>
        <v/>
      </c>
      <c r="M16">
        <f>JIKA(Normalisasi!$F$54=0;0;(Normalisasi!$F$16-Normalisasi!$F$53)/Normalisasi!$F$54)</f>
        <v/>
      </c>
      <c r="N16">
        <f>JIKA(Normalisasi!$G$54=0;0;(Normalisasi!$G$16-Normalisasi!$G$53)/Normalisasi!$G$54)</f>
        <v/>
      </c>
      <c r="O16">
        <f>JIKA(Normalisasi!$H$54=0;0;(Normalisasi!$H$16-Normalisasi!$H$53)/Normalisasi!$H$54)</f>
        <v/>
      </c>
      <c r="P16">
        <f>JIKA(Normalisasi!$I$54=0;0;(Normalisasi!$I$16-Normalisasi!$I$53)/Normalisasi!$I$54)</f>
        <v/>
      </c>
      <c r="Q16">
        <f>MAKS(ABS(Normalisasi!$J$16-Normalisasi!$R$16);ABS(Normalisasi!$K$16-Normalisasi!$S$16);ABS(Normalisasi!$L$16-Normalisasi!$T$16);ABS(Normalisasi!$M$16-Normalisasi!$U$16);ABS(Normalisasi!$N$16-Normalisasi!$V$16);ABS(Normalisasi!$O$16-Normalisasi!$W$16);ABS(Normalisasi!$P$16-Normalisasi!$X$16))</f>
        <v/>
      </c>
      <c r="R16" t="n">
        <v>-1.369508608315258</v>
      </c>
      <c r="S16" t="n">
        <v>-1.634058777284591</v>
      </c>
      <c r="T16" t="n">
        <v>0.2744415317669227</v>
      </c>
      <c r="U16" t="n">
        <v>1.854005283856819</v>
      </c>
      <c r="V16" t="n">
        <v>0.9285246691072029</v>
      </c>
      <c r="W16" t="n">
        <v>1.099133325022247</v>
      </c>
      <c r="X16" t="n">
        <v>-0.04490523767262462</v>
      </c>
    </row>
    <row r="17">
      <c r="A17">
        <f>Data_Awal!A17</f>
        <v/>
      </c>
      <c r="B17">
        <f>Data_Awal!B17</f>
        <v/>
      </c>
      <c r="C17">
        <f>Data_Awal!C17</f>
        <v/>
      </c>
      <c r="D17">
        <f>Data_Awal!D17</f>
        <v/>
      </c>
      <c r="E17">
        <f>Data_Awal!E17</f>
        <v/>
      </c>
      <c r="F17">
        <f>Data_Awal!F17</f>
        <v/>
      </c>
      <c r="G17">
        <f>Data_Awal!G17</f>
        <v/>
      </c>
      <c r="H17">
        <f>Data_Awal!H17</f>
        <v/>
      </c>
      <c r="I17">
        <f>Data_Awal!I17</f>
        <v/>
      </c>
      <c r="J17">
        <f>JIKA(Normalisasi!$C$54=0;0;(Normalisasi!$C$17-Normalisasi!$C$53)/Normalisasi!$C$54)</f>
        <v/>
      </c>
      <c r="K17">
        <f>JIKA(Normalisasi!$D$54=0;0;(Normalisasi!$D$17-Normalisasi!$D$53)/Normalisasi!$D$54)</f>
        <v/>
      </c>
      <c r="L17">
        <f>JIKA(Normalisasi!$E$54=0;0;(Normalisasi!$E$17-Normalisasi!$E$53)/Normalisasi!$E$54)</f>
        <v/>
      </c>
      <c r="M17">
        <f>JIKA(Normalisasi!$F$54=0;0;(Normalisasi!$F$17-Normalisasi!$F$53)/Normalisasi!$F$54)</f>
        <v/>
      </c>
      <c r="N17">
        <f>JIKA(Normalisasi!$G$54=0;0;(Normalisasi!$G$17-Normalisasi!$G$53)/Normalisasi!$G$54)</f>
        <v/>
      </c>
      <c r="O17">
        <f>JIKA(Normalisasi!$H$54=0;0;(Normalisasi!$H$17-Normalisasi!$H$53)/Normalisasi!$H$54)</f>
        <v/>
      </c>
      <c r="P17">
        <f>JIKA(Normalisasi!$I$54=0;0;(Normalisasi!$I$17-Normalisasi!$I$53)/Normalisasi!$I$54)</f>
        <v/>
      </c>
      <c r="Q17">
        <f>MAKS(ABS(Normalisasi!$J$17-Normalisasi!$R$17);ABS(Normalisasi!$K$17-Normalisasi!$S$17);ABS(Normalisasi!$L$17-Normalisasi!$T$17);ABS(Normalisasi!$M$17-Normalisasi!$U$17);ABS(Normalisasi!$N$17-Normalisasi!$V$17);ABS(Normalisasi!$O$17-Normalisasi!$W$17);ABS(Normalisasi!$P$17-Normalisasi!$X$17))</f>
        <v/>
      </c>
      <c r="R17" t="n">
        <v>-0.475021900611022</v>
      </c>
      <c r="S17" t="n">
        <v>1.432359104278873</v>
      </c>
      <c r="T17" t="n">
        <v>1.392517405151822</v>
      </c>
      <c r="U17" t="n">
        <v>0.6243265251883098</v>
      </c>
      <c r="V17" t="n">
        <v>1.49178981870851</v>
      </c>
      <c r="W17" t="n">
        <v>-0.2163187926905486</v>
      </c>
      <c r="X17" t="n">
        <v>-1.292272950801088</v>
      </c>
    </row>
    <row r="18">
      <c r="A18">
        <f>Data_Awal!A18</f>
        <v/>
      </c>
      <c r="B18">
        <f>Data_Awal!B18</f>
        <v/>
      </c>
      <c r="C18">
        <f>Data_Awal!C18</f>
        <v/>
      </c>
      <c r="D18">
        <f>Data_Awal!D18</f>
        <v/>
      </c>
      <c r="E18">
        <f>Data_Awal!E18</f>
        <v/>
      </c>
      <c r="F18">
        <f>Data_Awal!F18</f>
        <v/>
      </c>
      <c r="G18">
        <f>Data_Awal!G18</f>
        <v/>
      </c>
      <c r="H18">
        <f>Data_Awal!H18</f>
        <v/>
      </c>
      <c r="I18">
        <f>Data_Awal!I18</f>
        <v/>
      </c>
      <c r="J18">
        <f>JIKA(Normalisasi!$C$54=0;0;(Normalisasi!$C$18-Normalisasi!$C$53)/Normalisasi!$C$54)</f>
        <v/>
      </c>
      <c r="K18">
        <f>JIKA(Normalisasi!$D$54=0;0;(Normalisasi!$D$18-Normalisasi!$D$53)/Normalisasi!$D$54)</f>
        <v/>
      </c>
      <c r="L18">
        <f>JIKA(Normalisasi!$E$54=0;0;(Normalisasi!$E$18-Normalisasi!$E$53)/Normalisasi!$E$54)</f>
        <v/>
      </c>
      <c r="M18">
        <f>JIKA(Normalisasi!$F$54=0;0;(Normalisasi!$F$18-Normalisasi!$F$53)/Normalisasi!$F$54)</f>
        <v/>
      </c>
      <c r="N18">
        <f>JIKA(Normalisasi!$G$54=0;0;(Normalisasi!$G$18-Normalisasi!$G$53)/Normalisasi!$G$54)</f>
        <v/>
      </c>
      <c r="O18">
        <f>JIKA(Normalisasi!$H$54=0;0;(Normalisasi!$H$18-Normalisasi!$H$53)/Normalisasi!$H$54)</f>
        <v/>
      </c>
      <c r="P18">
        <f>JIKA(Normalisasi!$I$54=0;0;(Normalisasi!$I$18-Normalisasi!$I$53)/Normalisasi!$I$54)</f>
        <v/>
      </c>
      <c r="Q18">
        <f>MAKS(ABS(Normalisasi!$J$18-Normalisasi!$R$18);ABS(Normalisasi!$K$18-Normalisasi!$S$18);ABS(Normalisasi!$L$18-Normalisasi!$T$18);ABS(Normalisasi!$M$18-Normalisasi!$U$18);ABS(Normalisasi!$N$18-Normalisasi!$V$18);ABS(Normalisasi!$O$18-Normalisasi!$W$18);ABS(Normalisasi!$P$18-Normalisasi!$X$18))</f>
        <v/>
      </c>
      <c r="R18" t="n">
        <v>1.519876967222409</v>
      </c>
      <c r="S18" t="n">
        <v>-0.767533403722132</v>
      </c>
      <c r="T18" t="n">
        <v>-1.054232707494776</v>
      </c>
      <c r="U18" t="n">
        <v>-1.134412464105796</v>
      </c>
      <c r="V18" t="n">
        <v>-0.3264650342192355</v>
      </c>
      <c r="W18" t="n">
        <v>-0.9471255247532127</v>
      </c>
      <c r="X18" t="n">
        <v>-1.042799408175396</v>
      </c>
    </row>
    <row r="19">
      <c r="A19">
        <f>Data_Awal!A19</f>
        <v/>
      </c>
      <c r="B19">
        <f>Data_Awal!B19</f>
        <v/>
      </c>
      <c r="C19">
        <f>Data_Awal!C19</f>
        <v/>
      </c>
      <c r="D19">
        <f>Data_Awal!D19</f>
        <v/>
      </c>
      <c r="E19">
        <f>Data_Awal!E19</f>
        <v/>
      </c>
      <c r="F19">
        <f>Data_Awal!F19</f>
        <v/>
      </c>
      <c r="G19">
        <f>Data_Awal!G19</f>
        <v/>
      </c>
      <c r="H19">
        <f>Data_Awal!H19</f>
        <v/>
      </c>
      <c r="I19">
        <f>Data_Awal!I19</f>
        <v/>
      </c>
      <c r="J19">
        <f>JIKA(Normalisasi!$C$54=0;0;(Normalisasi!$C$19-Normalisasi!$C$53)/Normalisasi!$C$54)</f>
        <v/>
      </c>
      <c r="K19">
        <f>JIKA(Normalisasi!$D$54=0;0;(Normalisasi!$D$19-Normalisasi!$D$53)/Normalisasi!$D$54)</f>
        <v/>
      </c>
      <c r="L19">
        <f>JIKA(Normalisasi!$E$54=0;0;(Normalisasi!$E$19-Normalisasi!$E$53)/Normalisasi!$E$54)</f>
        <v/>
      </c>
      <c r="M19">
        <f>JIKA(Normalisasi!$F$54=0;0;(Normalisasi!$F$19-Normalisasi!$F$53)/Normalisasi!$F$54)</f>
        <v/>
      </c>
      <c r="N19">
        <f>JIKA(Normalisasi!$G$54=0;0;(Normalisasi!$G$19-Normalisasi!$G$53)/Normalisasi!$G$54)</f>
        <v/>
      </c>
      <c r="O19">
        <f>JIKA(Normalisasi!$H$54=0;0;(Normalisasi!$H$19-Normalisasi!$H$53)/Normalisasi!$H$54)</f>
        <v/>
      </c>
      <c r="P19">
        <f>JIKA(Normalisasi!$I$54=0;0;(Normalisasi!$I$19-Normalisasi!$I$53)/Normalisasi!$I$54)</f>
        <v/>
      </c>
      <c r="Q19">
        <f>MAKS(ABS(Normalisasi!$J$19-Normalisasi!$R$19);ABS(Normalisasi!$K$19-Normalisasi!$S$19);ABS(Normalisasi!$L$19-Normalisasi!$T$19);ABS(Normalisasi!$M$19-Normalisasi!$U$19);ABS(Normalisasi!$N$19-Normalisasi!$V$19);ABS(Normalisasi!$O$19-Normalisasi!$W$19);ABS(Normalisasi!$P$19-Normalisasi!$X$19))</f>
        <v/>
      </c>
      <c r="R19" t="n">
        <v>-1.466943569405568</v>
      </c>
      <c r="S19" t="n">
        <v>0.1144725554273577</v>
      </c>
      <c r="T19" t="n">
        <v>-0.3345585209763771</v>
      </c>
      <c r="U19" t="n">
        <v>-0.1771730165141688</v>
      </c>
      <c r="V19" t="n">
        <v>-0.6687050342883935</v>
      </c>
      <c r="W19" t="n">
        <v>-0.9471255247532127</v>
      </c>
      <c r="X19" t="n">
        <v>-0.5438523229240101</v>
      </c>
    </row>
    <row r="20">
      <c r="A20">
        <f>Data_Awal!A20</f>
        <v/>
      </c>
      <c r="B20">
        <f>Data_Awal!B20</f>
        <v/>
      </c>
      <c r="C20">
        <f>Data_Awal!C20</f>
        <v/>
      </c>
      <c r="D20">
        <f>Data_Awal!D20</f>
        <v/>
      </c>
      <c r="E20">
        <f>Data_Awal!E20</f>
        <v/>
      </c>
      <c r="F20">
        <f>Data_Awal!F20</f>
        <v/>
      </c>
      <c r="G20">
        <f>Data_Awal!G20</f>
        <v/>
      </c>
      <c r="H20">
        <f>Data_Awal!H20</f>
        <v/>
      </c>
      <c r="I20">
        <f>Data_Awal!I20</f>
        <v/>
      </c>
      <c r="J20">
        <f>JIKA(Normalisasi!$C$54=0;0;(Normalisasi!$C$20-Normalisasi!$C$53)/Normalisasi!$C$54)</f>
        <v/>
      </c>
      <c r="K20">
        <f>JIKA(Normalisasi!$D$54=0;0;(Normalisasi!$D$20-Normalisasi!$D$53)/Normalisasi!$D$54)</f>
        <v/>
      </c>
      <c r="L20">
        <f>JIKA(Normalisasi!$E$54=0;0;(Normalisasi!$E$20-Normalisasi!$E$53)/Normalisasi!$E$54)</f>
        <v/>
      </c>
      <c r="M20">
        <f>JIKA(Normalisasi!$F$54=0;0;(Normalisasi!$F$20-Normalisasi!$F$53)/Normalisasi!$F$54)</f>
        <v/>
      </c>
      <c r="N20">
        <f>JIKA(Normalisasi!$G$54=0;0;(Normalisasi!$G$20-Normalisasi!$G$53)/Normalisasi!$G$54)</f>
        <v/>
      </c>
      <c r="O20">
        <f>JIKA(Normalisasi!$H$54=0;0;(Normalisasi!$H$20-Normalisasi!$H$53)/Normalisasi!$H$54)</f>
        <v/>
      </c>
      <c r="P20">
        <f>JIKA(Normalisasi!$I$54=0;0;(Normalisasi!$I$20-Normalisasi!$I$53)/Normalisasi!$I$54)</f>
        <v/>
      </c>
      <c r="Q20">
        <f>MAKS(ABS(Normalisasi!$J$20-Normalisasi!$R$20);ABS(Normalisasi!$K$20-Normalisasi!$S$20);ABS(Normalisasi!$L$20-Normalisasi!$T$20);ABS(Normalisasi!$M$20-Normalisasi!$U$20);ABS(Normalisasi!$N$20-Normalisasi!$V$20);ABS(Normalisasi!$O$20-Normalisasi!$W$20);ABS(Normalisasi!$P$20-Normalisasi!$X$20))</f>
        <v/>
      </c>
      <c r="R20" t="n">
        <v>-0.3439858587043915</v>
      </c>
      <c r="S20" t="n">
        <v>-0.3063416333873588</v>
      </c>
      <c r="T20" t="n">
        <v>-1.606049627649291</v>
      </c>
      <c r="U20" t="n">
        <v>1.169468423172804</v>
      </c>
      <c r="V20" t="n">
        <v>-0.6884391852281011</v>
      </c>
      <c r="W20" t="n">
        <v>-0.654802831928147</v>
      </c>
      <c r="X20" t="n">
        <v>-0.7933258655497027</v>
      </c>
    </row>
    <row r="21">
      <c r="A21">
        <f>Data_Awal!A21</f>
        <v/>
      </c>
      <c r="B21">
        <f>Data_Awal!B21</f>
        <v/>
      </c>
      <c r="C21">
        <f>Data_Awal!C21</f>
        <v/>
      </c>
      <c r="D21">
        <f>Data_Awal!D21</f>
        <v/>
      </c>
      <c r="E21">
        <f>Data_Awal!E21</f>
        <v/>
      </c>
      <c r="F21">
        <f>Data_Awal!F21</f>
        <v/>
      </c>
      <c r="G21">
        <f>Data_Awal!G21</f>
        <v/>
      </c>
      <c r="H21">
        <f>Data_Awal!H21</f>
        <v/>
      </c>
      <c r="I21">
        <f>Data_Awal!I21</f>
        <v/>
      </c>
      <c r="J21">
        <f>JIKA(Normalisasi!$C$54=0;0;(Normalisasi!$C$21-Normalisasi!$C$53)/Normalisasi!$C$54)</f>
        <v/>
      </c>
      <c r="K21">
        <f>JIKA(Normalisasi!$D$54=0;0;(Normalisasi!$D$21-Normalisasi!$D$53)/Normalisasi!$D$54)</f>
        <v/>
      </c>
      <c r="L21">
        <f>JIKA(Normalisasi!$E$54=0;0;(Normalisasi!$E$21-Normalisasi!$E$53)/Normalisasi!$E$54)</f>
        <v/>
      </c>
      <c r="M21">
        <f>JIKA(Normalisasi!$F$54=0;0;(Normalisasi!$F$21-Normalisasi!$F$53)/Normalisasi!$F$54)</f>
        <v/>
      </c>
      <c r="N21">
        <f>JIKA(Normalisasi!$G$54=0;0;(Normalisasi!$G$21-Normalisasi!$G$53)/Normalisasi!$G$54)</f>
        <v/>
      </c>
      <c r="O21">
        <f>JIKA(Normalisasi!$H$54=0;0;(Normalisasi!$H$21-Normalisasi!$H$53)/Normalisasi!$H$54)</f>
        <v/>
      </c>
      <c r="P21">
        <f>JIKA(Normalisasi!$I$54=0;0;(Normalisasi!$I$21-Normalisasi!$I$53)/Normalisasi!$I$54)</f>
        <v/>
      </c>
      <c r="Q21">
        <f>MAKS(ABS(Normalisasi!$J$21-Normalisasi!$R$21);ABS(Normalisasi!$K$21-Normalisasi!$S$21);ABS(Normalisasi!$L$21-Normalisasi!$T$21);ABS(Normalisasi!$M$21-Normalisasi!$U$21);ABS(Normalisasi!$N$21-Normalisasi!$V$21);ABS(Normalisasi!$O$21-Normalisasi!$W$21);ABS(Normalisasi!$P$21-Normalisasi!$X$21))</f>
        <v/>
      </c>
      <c r="R21" t="n">
        <v>1.485925289857629</v>
      </c>
      <c r="S21" t="n">
        <v>0.9241598546648144</v>
      </c>
      <c r="T21" t="n">
        <v>-1.608236934641782</v>
      </c>
      <c r="U21" t="n">
        <v>0.1215800734863612</v>
      </c>
      <c r="V21" t="n">
        <v>0.3532255793791216</v>
      </c>
      <c r="W21" t="n">
        <v>1.391456017847312</v>
      </c>
      <c r="X21" t="n">
        <v>1.701409560707224</v>
      </c>
    </row>
    <row r="22">
      <c r="A22">
        <f>Data_Awal!A22</f>
        <v/>
      </c>
      <c r="B22">
        <f>Data_Awal!B22</f>
        <v/>
      </c>
      <c r="C22">
        <f>Data_Awal!C22</f>
        <v/>
      </c>
      <c r="D22">
        <f>Data_Awal!D22</f>
        <v/>
      </c>
      <c r="E22">
        <f>Data_Awal!E22</f>
        <v/>
      </c>
      <c r="F22">
        <f>Data_Awal!F22</f>
        <v/>
      </c>
      <c r="G22">
        <f>Data_Awal!G22</f>
        <v/>
      </c>
      <c r="H22">
        <f>Data_Awal!H22</f>
        <v/>
      </c>
      <c r="I22">
        <f>Data_Awal!I22</f>
        <v/>
      </c>
      <c r="J22">
        <f>JIKA(Normalisasi!$C$54=0;0;(Normalisasi!$C$22-Normalisasi!$C$53)/Normalisasi!$C$54)</f>
        <v/>
      </c>
      <c r="K22">
        <f>JIKA(Normalisasi!$D$54=0;0;(Normalisasi!$D$22-Normalisasi!$D$53)/Normalisasi!$D$54)</f>
        <v/>
      </c>
      <c r="L22">
        <f>JIKA(Normalisasi!$E$54=0;0;(Normalisasi!$E$22-Normalisasi!$E$53)/Normalisasi!$E$54)</f>
        <v/>
      </c>
      <c r="M22">
        <f>JIKA(Normalisasi!$F$54=0;0;(Normalisasi!$F$22-Normalisasi!$F$53)/Normalisasi!$F$54)</f>
        <v/>
      </c>
      <c r="N22">
        <f>JIKA(Normalisasi!$G$54=0;0;(Normalisasi!$G$22-Normalisasi!$G$53)/Normalisasi!$G$54)</f>
        <v/>
      </c>
      <c r="O22">
        <f>JIKA(Normalisasi!$H$54=0;0;(Normalisasi!$H$22-Normalisasi!$H$53)/Normalisasi!$H$54)</f>
        <v/>
      </c>
      <c r="P22">
        <f>JIKA(Normalisasi!$I$54=0;0;(Normalisasi!$I$22-Normalisasi!$I$53)/Normalisasi!$I$54)</f>
        <v/>
      </c>
      <c r="Q22">
        <f>MAKS(ABS(Normalisasi!$J$22-Normalisasi!$R$22);ABS(Normalisasi!$K$22-Normalisasi!$S$22);ABS(Normalisasi!$L$22-Normalisasi!$T$22);ABS(Normalisasi!$M$22-Normalisasi!$U$22);ABS(Normalisasi!$N$22-Normalisasi!$V$22);ABS(Normalisasi!$O$22-Normalisasi!$W$22);ABS(Normalisasi!$P$22-Normalisasi!$X$22))</f>
        <v/>
      </c>
      <c r="R22" t="n">
        <v>-1.120764516807153</v>
      </c>
      <c r="S22" t="n">
        <v>-0.43980600174843</v>
      </c>
      <c r="T22" t="n">
        <v>1.020293964882087</v>
      </c>
      <c r="U22" t="n">
        <v>-0.7598028790376382</v>
      </c>
      <c r="V22" t="n">
        <v>0.7095254815568214</v>
      </c>
      <c r="W22" t="n">
        <v>0.8068106321971811</v>
      </c>
      <c r="X22" t="n">
        <v>1.701409560707224</v>
      </c>
    </row>
    <row r="23">
      <c r="A23">
        <f>Data_Awal!A23</f>
        <v/>
      </c>
      <c r="B23">
        <f>Data_Awal!B23</f>
        <v/>
      </c>
      <c r="C23">
        <f>Data_Awal!C23</f>
        <v/>
      </c>
      <c r="D23">
        <f>Data_Awal!D23</f>
        <v/>
      </c>
      <c r="E23">
        <f>Data_Awal!E23</f>
        <v/>
      </c>
      <c r="F23">
        <f>Data_Awal!F23</f>
        <v/>
      </c>
      <c r="G23">
        <f>Data_Awal!G23</f>
        <v/>
      </c>
      <c r="H23">
        <f>Data_Awal!H23</f>
        <v/>
      </c>
      <c r="I23">
        <f>Data_Awal!I23</f>
        <v/>
      </c>
      <c r="J23">
        <f>JIKA(Normalisasi!$C$54=0;0;(Normalisasi!$C$23-Normalisasi!$C$53)/Normalisasi!$C$54)</f>
        <v/>
      </c>
      <c r="K23">
        <f>JIKA(Normalisasi!$D$54=0;0;(Normalisasi!$D$23-Normalisasi!$D$53)/Normalisasi!$D$54)</f>
        <v/>
      </c>
      <c r="L23">
        <f>JIKA(Normalisasi!$E$54=0;0;(Normalisasi!$E$23-Normalisasi!$E$53)/Normalisasi!$E$54)</f>
        <v/>
      </c>
      <c r="M23">
        <f>JIKA(Normalisasi!$F$54=0;0;(Normalisasi!$F$23-Normalisasi!$F$53)/Normalisasi!$F$54)</f>
        <v/>
      </c>
      <c r="N23">
        <f>JIKA(Normalisasi!$G$54=0;0;(Normalisasi!$G$23-Normalisasi!$G$53)/Normalisasi!$G$54)</f>
        <v/>
      </c>
      <c r="O23">
        <f>JIKA(Normalisasi!$H$54=0;0;(Normalisasi!$H$23-Normalisasi!$H$53)/Normalisasi!$H$54)</f>
        <v/>
      </c>
      <c r="P23">
        <f>JIKA(Normalisasi!$I$54=0;0;(Normalisasi!$I$23-Normalisasi!$I$53)/Normalisasi!$I$54)</f>
        <v/>
      </c>
      <c r="Q23">
        <f>MAKS(ABS(Normalisasi!$J$23-Normalisasi!$R$23);ABS(Normalisasi!$K$23-Normalisasi!$S$23);ABS(Normalisasi!$L$23-Normalisasi!$T$23);ABS(Normalisasi!$M$23-Normalisasi!$U$23);ABS(Normalisasi!$N$23-Normalisasi!$V$23);ABS(Normalisasi!$O$23-Normalisasi!$W$23);ABS(Normalisasi!$P$23-Normalisasi!$X$23))</f>
        <v/>
      </c>
      <c r="R23" t="n">
        <v>0.3130168700992109</v>
      </c>
      <c r="S23" t="n">
        <v>1.236561627599472</v>
      </c>
      <c r="T23" t="n">
        <v>1.481152693271186</v>
      </c>
      <c r="U23" t="n">
        <v>1.711011400037597</v>
      </c>
      <c r="V23" t="n">
        <v>1.698957927493277</v>
      </c>
      <c r="W23" t="n">
        <v>1.391456017847312</v>
      </c>
      <c r="X23" t="n">
        <v>-1.541746493426781</v>
      </c>
    </row>
    <row r="24">
      <c r="A24">
        <f>Data_Awal!A24</f>
        <v/>
      </c>
      <c r="B24">
        <f>Data_Awal!B24</f>
        <v/>
      </c>
      <c r="C24">
        <f>Data_Awal!C24</f>
        <v/>
      </c>
      <c r="D24">
        <f>Data_Awal!D24</f>
        <v/>
      </c>
      <c r="E24">
        <f>Data_Awal!E24</f>
        <v/>
      </c>
      <c r="F24">
        <f>Data_Awal!F24</f>
        <v/>
      </c>
      <c r="G24">
        <f>Data_Awal!G24</f>
        <v/>
      </c>
      <c r="H24">
        <f>Data_Awal!H24</f>
        <v/>
      </c>
      <c r="I24">
        <f>Data_Awal!I24</f>
        <v/>
      </c>
      <c r="J24">
        <f>JIKA(Normalisasi!$C$54=0;0;(Normalisasi!$C$24-Normalisasi!$C$53)/Normalisasi!$C$54)</f>
        <v/>
      </c>
      <c r="K24">
        <f>JIKA(Normalisasi!$D$54=0;0;(Normalisasi!$D$24-Normalisasi!$D$53)/Normalisasi!$D$54)</f>
        <v/>
      </c>
      <c r="L24">
        <f>JIKA(Normalisasi!$E$54=0;0;(Normalisasi!$E$24-Normalisasi!$E$53)/Normalisasi!$E$54)</f>
        <v/>
      </c>
      <c r="M24">
        <f>JIKA(Normalisasi!$F$54=0;0;(Normalisasi!$F$24-Normalisasi!$F$53)/Normalisasi!$F$54)</f>
        <v/>
      </c>
      <c r="N24">
        <f>JIKA(Normalisasi!$G$54=0;0;(Normalisasi!$G$24-Normalisasi!$G$53)/Normalisasi!$G$54)</f>
        <v/>
      </c>
      <c r="O24">
        <f>JIKA(Normalisasi!$H$54=0;0;(Normalisasi!$H$24-Normalisasi!$H$53)/Normalisasi!$H$54)</f>
        <v/>
      </c>
      <c r="P24">
        <f>JIKA(Normalisasi!$I$54=0;0;(Normalisasi!$I$24-Normalisasi!$I$53)/Normalisasi!$I$54)</f>
        <v/>
      </c>
      <c r="Q24">
        <f>MAKS(ABS(Normalisasi!$J$24-Normalisasi!$R$24);ABS(Normalisasi!$K$24-Normalisasi!$S$24);ABS(Normalisasi!$L$24-Normalisasi!$T$24);ABS(Normalisasi!$M$24-Normalisasi!$U$24);ABS(Normalisasi!$N$24-Normalisasi!$V$24);ABS(Normalisasi!$O$24-Normalisasi!$W$24);ABS(Normalisasi!$P$24-Normalisasi!$X$24))</f>
        <v/>
      </c>
      <c r="R24" t="n">
        <v>0.6429249292937211</v>
      </c>
      <c r="S24" t="n">
        <v>0.407853521993677</v>
      </c>
      <c r="T24" t="n">
        <v>-0.7536731737001491</v>
      </c>
      <c r="U24" t="n">
        <v>-0.7073760284180928</v>
      </c>
      <c r="V24" t="n">
        <v>-0.8546105720015721</v>
      </c>
      <c r="W24" t="n">
        <v>1.537617364259845</v>
      </c>
      <c r="X24" t="n">
        <v>0.7035153902044535</v>
      </c>
    </row>
    <row r="25">
      <c r="A25">
        <f>Data_Awal!A25</f>
        <v/>
      </c>
      <c r="B25">
        <f>Data_Awal!B25</f>
        <v/>
      </c>
      <c r="C25">
        <f>Data_Awal!C25</f>
        <v/>
      </c>
      <c r="D25">
        <f>Data_Awal!D25</f>
        <v/>
      </c>
      <c r="E25">
        <f>Data_Awal!E25</f>
        <v/>
      </c>
      <c r="F25">
        <f>Data_Awal!F25</f>
        <v/>
      </c>
      <c r="G25">
        <f>Data_Awal!G25</f>
        <v/>
      </c>
      <c r="H25">
        <f>Data_Awal!H25</f>
        <v/>
      </c>
      <c r="I25">
        <f>Data_Awal!I25</f>
        <v/>
      </c>
      <c r="J25">
        <f>JIKA(Normalisasi!$C$54=0;0;(Normalisasi!$C$25-Normalisasi!$C$53)/Normalisasi!$C$54)</f>
        <v/>
      </c>
      <c r="K25">
        <f>JIKA(Normalisasi!$D$54=0;0;(Normalisasi!$D$25-Normalisasi!$D$53)/Normalisasi!$D$54)</f>
        <v/>
      </c>
      <c r="L25">
        <f>JIKA(Normalisasi!$E$54=0;0;(Normalisasi!$E$25-Normalisasi!$E$53)/Normalisasi!$E$54)</f>
        <v/>
      </c>
      <c r="M25">
        <f>JIKA(Normalisasi!$F$54=0;0;(Normalisasi!$F$25-Normalisasi!$F$53)/Normalisasi!$F$54)</f>
        <v/>
      </c>
      <c r="N25">
        <f>JIKA(Normalisasi!$G$54=0;0;(Normalisasi!$G$25-Normalisasi!$G$53)/Normalisasi!$G$54)</f>
        <v/>
      </c>
      <c r="O25">
        <f>JIKA(Normalisasi!$H$54=0;0;(Normalisasi!$H$25-Normalisasi!$H$53)/Normalisasi!$H$54)</f>
        <v/>
      </c>
      <c r="P25">
        <f>JIKA(Normalisasi!$I$54=0;0;(Normalisasi!$I$25-Normalisasi!$I$53)/Normalisasi!$I$54)</f>
        <v/>
      </c>
      <c r="Q25">
        <f>MAKS(ABS(Normalisasi!$J$25-Normalisasi!$R$25);ABS(Normalisasi!$K$25-Normalisasi!$S$25);ABS(Normalisasi!$L$25-Normalisasi!$T$25);ABS(Normalisasi!$M$25-Normalisasi!$U$25);ABS(Normalisasi!$N$25-Normalisasi!$V$25);ABS(Normalisasi!$O$25-Normalisasi!$W$25);ABS(Normalisasi!$P$25-Normalisasi!$X$25))</f>
        <v/>
      </c>
      <c r="R25" t="n">
        <v>0.9925092380171123</v>
      </c>
      <c r="S25" t="n">
        <v>0.127160708942526</v>
      </c>
      <c r="T25" t="n">
        <v>1.057185973923489</v>
      </c>
      <c r="U25" t="n">
        <v>0.7525306721783045</v>
      </c>
      <c r="V25" t="n">
        <v>0.6777981464143796</v>
      </c>
      <c r="W25" t="n">
        <v>1.537617364259845</v>
      </c>
      <c r="X25" t="n">
        <v>-1.292272950801088</v>
      </c>
    </row>
    <row r="26">
      <c r="A26">
        <f>Data_Awal!A26</f>
        <v/>
      </c>
      <c r="B26">
        <f>Data_Awal!B26</f>
        <v/>
      </c>
      <c r="C26">
        <f>Data_Awal!C26</f>
        <v/>
      </c>
      <c r="D26">
        <f>Data_Awal!D26</f>
        <v/>
      </c>
      <c r="E26">
        <f>Data_Awal!E26</f>
        <v/>
      </c>
      <c r="F26">
        <f>Data_Awal!F26</f>
        <v/>
      </c>
      <c r="G26">
        <f>Data_Awal!G26</f>
        <v/>
      </c>
      <c r="H26">
        <f>Data_Awal!H26</f>
        <v/>
      </c>
      <c r="I26">
        <f>Data_Awal!I26</f>
        <v/>
      </c>
      <c r="J26">
        <f>JIKA(Normalisasi!$C$54=0;0;(Normalisasi!$C$26-Normalisasi!$C$53)/Normalisasi!$C$54)</f>
        <v/>
      </c>
      <c r="K26">
        <f>JIKA(Normalisasi!$D$54=0;0;(Normalisasi!$D$26-Normalisasi!$D$53)/Normalisasi!$D$54)</f>
        <v/>
      </c>
      <c r="L26">
        <f>JIKA(Normalisasi!$E$54=0;0;(Normalisasi!$E$26-Normalisasi!$E$53)/Normalisasi!$E$54)</f>
        <v/>
      </c>
      <c r="M26">
        <f>JIKA(Normalisasi!$F$54=0;0;(Normalisasi!$F$26-Normalisasi!$F$53)/Normalisasi!$F$54)</f>
        <v/>
      </c>
      <c r="N26">
        <f>JIKA(Normalisasi!$G$54=0;0;(Normalisasi!$G$26-Normalisasi!$G$53)/Normalisasi!$G$54)</f>
        <v/>
      </c>
      <c r="O26">
        <f>JIKA(Normalisasi!$H$54=0;0;(Normalisasi!$H$26-Normalisasi!$H$53)/Normalisasi!$H$54)</f>
        <v/>
      </c>
      <c r="P26">
        <f>JIKA(Normalisasi!$I$54=0;0;(Normalisasi!$I$26-Normalisasi!$I$53)/Normalisasi!$I$54)</f>
        <v/>
      </c>
      <c r="Q26">
        <f>MAKS(ABS(Normalisasi!$J$26-Normalisasi!$R$26);ABS(Normalisasi!$K$26-Normalisasi!$S$26);ABS(Normalisasi!$L$26-Normalisasi!$T$26);ABS(Normalisasi!$M$26-Normalisasi!$U$26);ABS(Normalisasi!$N$26-Normalisasi!$V$26);ABS(Normalisasi!$O$26-Normalisasi!$W$26);ABS(Normalisasi!$P$26-Normalisasi!$X$26))</f>
        <v/>
      </c>
      <c r="R26" t="n">
        <v>0.7864314616418339</v>
      </c>
      <c r="S26" t="n">
        <v>1.480603340134893</v>
      </c>
      <c r="T26" t="n">
        <v>-0.3720362627120784</v>
      </c>
      <c r="U26" t="n">
        <v>-0.03935654209210922</v>
      </c>
      <c r="V26" t="n">
        <v>0.9205091912136563</v>
      </c>
      <c r="W26" t="n">
        <v>0.3683265929595826</v>
      </c>
      <c r="X26" t="n">
        <v>1.701409560707224</v>
      </c>
    </row>
    <row r="27">
      <c r="A27">
        <f>Data_Awal!A27</f>
        <v/>
      </c>
      <c r="B27">
        <f>Data_Awal!B27</f>
        <v/>
      </c>
      <c r="C27">
        <f>Data_Awal!C27</f>
        <v/>
      </c>
      <c r="D27">
        <f>Data_Awal!D27</f>
        <v/>
      </c>
      <c r="E27">
        <f>Data_Awal!E27</f>
        <v/>
      </c>
      <c r="F27">
        <f>Data_Awal!F27</f>
        <v/>
      </c>
      <c r="G27">
        <f>Data_Awal!G27</f>
        <v/>
      </c>
      <c r="H27">
        <f>Data_Awal!H27</f>
        <v/>
      </c>
      <c r="I27">
        <f>Data_Awal!I27</f>
        <v/>
      </c>
      <c r="J27">
        <f>JIKA(Normalisasi!$C$54=0;0;(Normalisasi!$C$27-Normalisasi!$C$53)/Normalisasi!$C$54)</f>
        <v/>
      </c>
      <c r="K27">
        <f>JIKA(Normalisasi!$D$54=0;0;(Normalisasi!$D$27-Normalisasi!$D$53)/Normalisasi!$D$54)</f>
        <v/>
      </c>
      <c r="L27">
        <f>JIKA(Normalisasi!$E$54=0;0;(Normalisasi!$E$27-Normalisasi!$E$53)/Normalisasi!$E$54)</f>
        <v/>
      </c>
      <c r="M27">
        <f>JIKA(Normalisasi!$F$54=0;0;(Normalisasi!$F$27-Normalisasi!$F$53)/Normalisasi!$F$54)</f>
        <v/>
      </c>
      <c r="N27">
        <f>JIKA(Normalisasi!$G$54=0;0;(Normalisasi!$G$27-Normalisasi!$G$53)/Normalisasi!$G$54)</f>
        <v/>
      </c>
      <c r="O27">
        <f>JIKA(Normalisasi!$H$54=0;0;(Normalisasi!$H$27-Normalisasi!$H$53)/Normalisasi!$H$54)</f>
        <v/>
      </c>
      <c r="P27">
        <f>JIKA(Normalisasi!$I$54=0;0;(Normalisasi!$I$27-Normalisasi!$I$53)/Normalisasi!$I$54)</f>
        <v/>
      </c>
      <c r="Q27">
        <f>MAKS(ABS(Normalisasi!$J$27-Normalisasi!$R$27);ABS(Normalisasi!$K$27-Normalisasi!$S$27);ABS(Normalisasi!$L$27-Normalisasi!$T$27);ABS(Normalisasi!$M$27-Normalisasi!$U$27);ABS(Normalisasi!$N$27-Normalisasi!$V$27);ABS(Normalisasi!$O$27-Normalisasi!$W$27);ABS(Normalisasi!$P$27-Normalisasi!$X$27))</f>
        <v/>
      </c>
      <c r="R27" t="n">
        <v>-0.8851402668271937</v>
      </c>
      <c r="S27" t="n">
        <v>0.2748248894717097</v>
      </c>
      <c r="T27" t="n">
        <v>0.1801337557174806</v>
      </c>
      <c r="U27" t="n">
        <v>0.3546875209855621</v>
      </c>
      <c r="V27" t="n">
        <v>-0.677803263735179</v>
      </c>
      <c r="W27" t="n">
        <v>-0.2163187926905486</v>
      </c>
      <c r="X27" t="n">
        <v>0.7035153902044535</v>
      </c>
    </row>
    <row r="28">
      <c r="A28">
        <f>Data_Awal!A28</f>
        <v/>
      </c>
      <c r="B28">
        <f>Data_Awal!B28</f>
        <v/>
      </c>
      <c r="C28">
        <f>Data_Awal!C28</f>
        <v/>
      </c>
      <c r="D28">
        <f>Data_Awal!D28</f>
        <v/>
      </c>
      <c r="E28">
        <f>Data_Awal!E28</f>
        <v/>
      </c>
      <c r="F28">
        <f>Data_Awal!F28</f>
        <v/>
      </c>
      <c r="G28">
        <f>Data_Awal!G28</f>
        <v/>
      </c>
      <c r="H28">
        <f>Data_Awal!H28</f>
        <v/>
      </c>
      <c r="I28">
        <f>Data_Awal!I28</f>
        <v/>
      </c>
      <c r="J28">
        <f>JIKA(Normalisasi!$C$54=0;0;(Normalisasi!$C$28-Normalisasi!$C$53)/Normalisasi!$C$54)</f>
        <v/>
      </c>
      <c r="K28">
        <f>JIKA(Normalisasi!$D$54=0;0;(Normalisasi!$D$28-Normalisasi!$D$53)/Normalisasi!$D$54)</f>
        <v/>
      </c>
      <c r="L28">
        <f>JIKA(Normalisasi!$E$54=0;0;(Normalisasi!$E$28-Normalisasi!$E$53)/Normalisasi!$E$54)</f>
        <v/>
      </c>
      <c r="M28">
        <f>JIKA(Normalisasi!$F$54=0;0;(Normalisasi!$F$28-Normalisasi!$F$53)/Normalisasi!$F$54)</f>
        <v/>
      </c>
      <c r="N28">
        <f>JIKA(Normalisasi!$G$54=0;0;(Normalisasi!$G$28-Normalisasi!$G$53)/Normalisasi!$G$54)</f>
        <v/>
      </c>
      <c r="O28">
        <f>JIKA(Normalisasi!$H$54=0;0;(Normalisasi!$H$28-Normalisasi!$H$53)/Normalisasi!$H$54)</f>
        <v/>
      </c>
      <c r="P28">
        <f>JIKA(Normalisasi!$I$54=0;0;(Normalisasi!$I$28-Normalisasi!$I$53)/Normalisasi!$I$54)</f>
        <v/>
      </c>
      <c r="Q28">
        <f>MAKS(ABS(Normalisasi!$J$28-Normalisasi!$R$28);ABS(Normalisasi!$K$28-Normalisasi!$S$28);ABS(Normalisasi!$L$28-Normalisasi!$T$28);ABS(Normalisasi!$M$28-Normalisasi!$U$28);ABS(Normalisasi!$N$28-Normalisasi!$V$28);ABS(Normalisasi!$O$28-Normalisasi!$W$28);ABS(Normalisasi!$P$28-Normalisasi!$X$28))</f>
        <v/>
      </c>
      <c r="R28" t="n">
        <v>-0.9229687128613795</v>
      </c>
      <c r="S28" t="n">
        <v>-0.8279622658810212</v>
      </c>
      <c r="T28" t="n">
        <v>1.17046759582756</v>
      </c>
      <c r="U28" t="n">
        <v>-1.009564205710026</v>
      </c>
      <c r="V28" t="n">
        <v>1.427355409856501</v>
      </c>
      <c r="W28" t="n">
        <v>1.537617364259845</v>
      </c>
      <c r="X28" t="n">
        <v>1.451936018081532</v>
      </c>
    </row>
    <row r="29">
      <c r="A29">
        <f>Data_Awal!A29</f>
        <v/>
      </c>
      <c r="B29">
        <f>Data_Awal!B29</f>
        <v/>
      </c>
      <c r="C29">
        <f>Data_Awal!C29</f>
        <v/>
      </c>
      <c r="D29">
        <f>Data_Awal!D29</f>
        <v/>
      </c>
      <c r="E29">
        <f>Data_Awal!E29</f>
        <v/>
      </c>
      <c r="F29">
        <f>Data_Awal!F29</f>
        <v/>
      </c>
      <c r="G29">
        <f>Data_Awal!G29</f>
        <v/>
      </c>
      <c r="H29">
        <f>Data_Awal!H29</f>
        <v/>
      </c>
      <c r="I29">
        <f>Data_Awal!I29</f>
        <v/>
      </c>
      <c r="J29">
        <f>JIKA(Normalisasi!$C$54=0;0;(Normalisasi!$C$29-Normalisasi!$C$53)/Normalisasi!$C$54)</f>
        <v/>
      </c>
      <c r="K29">
        <f>JIKA(Normalisasi!$D$54=0;0;(Normalisasi!$D$29-Normalisasi!$D$53)/Normalisasi!$D$54)</f>
        <v/>
      </c>
      <c r="L29">
        <f>JIKA(Normalisasi!$E$54=0;0;(Normalisasi!$E$29-Normalisasi!$E$53)/Normalisasi!$E$54)</f>
        <v/>
      </c>
      <c r="M29">
        <f>JIKA(Normalisasi!$F$54=0;0;(Normalisasi!$F$29-Normalisasi!$F$53)/Normalisasi!$F$54)</f>
        <v/>
      </c>
      <c r="N29">
        <f>JIKA(Normalisasi!$G$54=0;0;(Normalisasi!$G$29-Normalisasi!$G$53)/Normalisasi!$G$54)</f>
        <v/>
      </c>
      <c r="O29">
        <f>JIKA(Normalisasi!$H$54=0;0;(Normalisasi!$H$29-Normalisasi!$H$53)/Normalisasi!$H$54)</f>
        <v/>
      </c>
      <c r="P29">
        <f>JIKA(Normalisasi!$I$54=0;0;(Normalisasi!$I$29-Normalisasi!$I$53)/Normalisasi!$I$54)</f>
        <v/>
      </c>
      <c r="Q29">
        <f>MAKS(ABS(Normalisasi!$J$29-Normalisasi!$R$29);ABS(Normalisasi!$K$29-Normalisasi!$S$29);ABS(Normalisasi!$L$29-Normalisasi!$T$29);ABS(Normalisasi!$M$29-Normalisasi!$U$29);ABS(Normalisasi!$N$29-Normalisasi!$V$29);ABS(Normalisasi!$O$29-Normalisasi!$W$29);ABS(Normalisasi!$P$29-Normalisasi!$X$29))</f>
        <v/>
      </c>
      <c r="R29" t="n">
        <v>0.4400278957472628</v>
      </c>
      <c r="S29" t="n">
        <v>0.4248234292558083</v>
      </c>
      <c r="T29" t="n">
        <v>1.568801513906079</v>
      </c>
      <c r="U29" t="n">
        <v>-0.963098325336981</v>
      </c>
      <c r="V29" t="n">
        <v>-0.4248718160424084</v>
      </c>
      <c r="W29" t="n">
        <v>0.9529719786097139</v>
      </c>
      <c r="X29" t="n">
        <v>0.2045683049530681</v>
      </c>
    </row>
    <row r="30">
      <c r="A30">
        <f>Data_Awal!A30</f>
        <v/>
      </c>
      <c r="B30">
        <f>Data_Awal!B30</f>
        <v/>
      </c>
      <c r="C30">
        <f>Data_Awal!C30</f>
        <v/>
      </c>
      <c r="D30">
        <f>Data_Awal!D30</f>
        <v/>
      </c>
      <c r="E30">
        <f>Data_Awal!E30</f>
        <v/>
      </c>
      <c r="F30">
        <f>Data_Awal!F30</f>
        <v/>
      </c>
      <c r="G30">
        <f>Data_Awal!G30</f>
        <v/>
      </c>
      <c r="H30">
        <f>Data_Awal!H30</f>
        <v/>
      </c>
      <c r="I30">
        <f>Data_Awal!I30</f>
        <v/>
      </c>
      <c r="J30">
        <f>JIKA(Normalisasi!$C$54=0;0;(Normalisasi!$C$30-Normalisasi!$C$53)/Normalisasi!$C$54)</f>
        <v/>
      </c>
      <c r="K30">
        <f>JIKA(Normalisasi!$D$54=0;0;(Normalisasi!$D$30-Normalisasi!$D$53)/Normalisasi!$D$54)</f>
        <v/>
      </c>
      <c r="L30">
        <f>JIKA(Normalisasi!$E$54=0;0;(Normalisasi!$E$30-Normalisasi!$E$53)/Normalisasi!$E$54)</f>
        <v/>
      </c>
      <c r="M30">
        <f>JIKA(Normalisasi!$F$54=0;0;(Normalisasi!$F$30-Normalisasi!$F$53)/Normalisasi!$F$54)</f>
        <v/>
      </c>
      <c r="N30">
        <f>JIKA(Normalisasi!$G$54=0;0;(Normalisasi!$G$30-Normalisasi!$G$53)/Normalisasi!$G$54)</f>
        <v/>
      </c>
      <c r="O30">
        <f>JIKA(Normalisasi!$H$54=0;0;(Normalisasi!$H$30-Normalisasi!$H$53)/Normalisasi!$H$54)</f>
        <v/>
      </c>
      <c r="P30">
        <f>JIKA(Normalisasi!$I$54=0;0;(Normalisasi!$I$30-Normalisasi!$I$53)/Normalisasi!$I$54)</f>
        <v/>
      </c>
      <c r="Q30">
        <f>MAKS(ABS(Normalisasi!$J$30-Normalisasi!$R$30);ABS(Normalisasi!$K$30-Normalisasi!$S$30);ABS(Normalisasi!$L$30-Normalisasi!$T$30);ABS(Normalisasi!$M$30-Normalisasi!$U$30);ABS(Normalisasi!$N$30-Normalisasi!$V$30);ABS(Normalisasi!$O$30-Normalisasi!$W$30);ABS(Normalisasi!$P$30-Normalisasi!$X$30))</f>
        <v/>
      </c>
      <c r="R30" t="n">
        <v>-1.253364894124664</v>
      </c>
      <c r="S30" t="n">
        <v>-1.805572626659044</v>
      </c>
      <c r="T30" t="n">
        <v>1.00784798571132</v>
      </c>
      <c r="U30" t="n">
        <v>0.04366921108895612</v>
      </c>
      <c r="V30" t="n">
        <v>-0.7571554859406405</v>
      </c>
      <c r="W30" t="n">
        <v>-1.531770910403344</v>
      </c>
      <c r="X30" t="n">
        <v>0.4540418475787608</v>
      </c>
    </row>
    <row r="31">
      <c r="A31">
        <f>Data_Awal!A31</f>
        <v/>
      </c>
      <c r="B31">
        <f>Data_Awal!B31</f>
        <v/>
      </c>
      <c r="C31">
        <f>Data_Awal!C31</f>
        <v/>
      </c>
      <c r="D31">
        <f>Data_Awal!D31</f>
        <v/>
      </c>
      <c r="E31">
        <f>Data_Awal!E31</f>
        <v/>
      </c>
      <c r="F31">
        <f>Data_Awal!F31</f>
        <v/>
      </c>
      <c r="G31">
        <f>Data_Awal!G31</f>
        <v/>
      </c>
      <c r="H31">
        <f>Data_Awal!H31</f>
        <v/>
      </c>
      <c r="I31">
        <f>Data_Awal!I31</f>
        <v/>
      </c>
      <c r="J31">
        <f>JIKA(Normalisasi!$C$54=0;0;(Normalisasi!$C$31-Normalisasi!$C$53)/Normalisasi!$C$54)</f>
        <v/>
      </c>
      <c r="K31">
        <f>JIKA(Normalisasi!$D$54=0;0;(Normalisasi!$D$31-Normalisasi!$D$53)/Normalisasi!$D$54)</f>
        <v/>
      </c>
      <c r="L31">
        <f>JIKA(Normalisasi!$E$54=0;0;(Normalisasi!$E$31-Normalisasi!$E$53)/Normalisasi!$E$54)</f>
        <v/>
      </c>
      <c r="M31">
        <f>JIKA(Normalisasi!$F$54=0;0;(Normalisasi!$F$31-Normalisasi!$F$53)/Normalisasi!$F$54)</f>
        <v/>
      </c>
      <c r="N31">
        <f>JIKA(Normalisasi!$G$54=0;0;(Normalisasi!$G$31-Normalisasi!$G$53)/Normalisasi!$G$54)</f>
        <v/>
      </c>
      <c r="O31">
        <f>JIKA(Normalisasi!$H$54=0;0;(Normalisasi!$H$31-Normalisasi!$H$53)/Normalisasi!$H$54)</f>
        <v/>
      </c>
      <c r="P31">
        <f>JIKA(Normalisasi!$I$54=0;0;(Normalisasi!$I$31-Normalisasi!$I$53)/Normalisasi!$I$54)</f>
        <v/>
      </c>
      <c r="Q31">
        <f>MAKS(ABS(Normalisasi!$J$31-Normalisasi!$R$31);ABS(Normalisasi!$K$31-Normalisasi!$S$31);ABS(Normalisasi!$L$31-Normalisasi!$T$31);ABS(Normalisasi!$M$31-Normalisasi!$U$31);ABS(Normalisasi!$N$31-Normalisasi!$V$31);ABS(Normalisasi!$O$31-Normalisasi!$W$31);ABS(Normalisasi!$P$31-Normalisasi!$X$31))</f>
        <v/>
      </c>
      <c r="R31" t="n">
        <v>-1.168354368349221</v>
      </c>
      <c r="S31" t="n">
        <v>1.492247912121827</v>
      </c>
      <c r="T31" t="n">
        <v>-1.421696816749322</v>
      </c>
      <c r="U31" t="n">
        <v>-1.507108257003832</v>
      </c>
      <c r="V31" t="n">
        <v>-0.5836041097672308</v>
      </c>
      <c r="W31" t="n">
        <v>-0.9471255247532127</v>
      </c>
      <c r="X31" t="n">
        <v>1.202462475455839</v>
      </c>
    </row>
    <row r="32">
      <c r="A32">
        <f>Data_Awal!A32</f>
        <v/>
      </c>
      <c r="B32">
        <f>Data_Awal!B32</f>
        <v/>
      </c>
      <c r="C32">
        <f>Data_Awal!C32</f>
        <v/>
      </c>
      <c r="D32">
        <f>Data_Awal!D32</f>
        <v/>
      </c>
      <c r="E32">
        <f>Data_Awal!E32</f>
        <v/>
      </c>
      <c r="F32">
        <f>Data_Awal!F32</f>
        <v/>
      </c>
      <c r="G32">
        <f>Data_Awal!G32</f>
        <v/>
      </c>
      <c r="H32">
        <f>Data_Awal!H32</f>
        <v/>
      </c>
      <c r="I32">
        <f>Data_Awal!I32</f>
        <v/>
      </c>
      <c r="J32">
        <f>JIKA(Normalisasi!$C$54=0;0;(Normalisasi!$C$32-Normalisasi!$C$53)/Normalisasi!$C$54)</f>
        <v/>
      </c>
      <c r="K32">
        <f>JIKA(Normalisasi!$D$54=0;0;(Normalisasi!$D$32-Normalisasi!$D$53)/Normalisasi!$D$54)</f>
        <v/>
      </c>
      <c r="L32">
        <f>JIKA(Normalisasi!$E$54=0;0;(Normalisasi!$E$32-Normalisasi!$E$53)/Normalisasi!$E$54)</f>
        <v/>
      </c>
      <c r="M32">
        <f>JIKA(Normalisasi!$F$54=0;0;(Normalisasi!$F$32-Normalisasi!$F$53)/Normalisasi!$F$54)</f>
        <v/>
      </c>
      <c r="N32">
        <f>JIKA(Normalisasi!$G$54=0;0;(Normalisasi!$G$32-Normalisasi!$G$53)/Normalisasi!$G$54)</f>
        <v/>
      </c>
      <c r="O32">
        <f>JIKA(Normalisasi!$H$54=0;0;(Normalisasi!$H$32-Normalisasi!$H$53)/Normalisasi!$H$54)</f>
        <v/>
      </c>
      <c r="P32">
        <f>JIKA(Normalisasi!$I$54=0;0;(Normalisasi!$I$32-Normalisasi!$I$53)/Normalisasi!$I$54)</f>
        <v/>
      </c>
      <c r="Q32">
        <f>MAKS(ABS(Normalisasi!$J$32-Normalisasi!$R$32);ABS(Normalisasi!$K$32-Normalisasi!$S$32);ABS(Normalisasi!$L$32-Normalisasi!$T$32);ABS(Normalisasi!$M$32-Normalisasi!$U$32);ABS(Normalisasi!$N$32-Normalisasi!$V$32);ABS(Normalisasi!$O$32-Normalisasi!$W$32);ABS(Normalisasi!$P$32-Normalisasi!$X$32))</f>
        <v/>
      </c>
      <c r="R32" t="n">
        <v>-0.6581553407659583</v>
      </c>
      <c r="S32" t="n">
        <v>1.009384240729509</v>
      </c>
      <c r="T32" t="n">
        <v>-1.049844911466393</v>
      </c>
      <c r="U32" t="n">
        <v>-1.131616914216527</v>
      </c>
      <c r="V32" t="n">
        <v>-1.301936239246372</v>
      </c>
      <c r="W32" t="n">
        <v>0.3683265929595826</v>
      </c>
      <c r="X32" t="n">
        <v>1.202462475455839</v>
      </c>
    </row>
    <row r="33">
      <c r="A33">
        <f>Data_Awal!A33</f>
        <v/>
      </c>
      <c r="B33">
        <f>Data_Awal!B33</f>
        <v/>
      </c>
      <c r="C33">
        <f>Data_Awal!C33</f>
        <v/>
      </c>
      <c r="D33">
        <f>Data_Awal!D33</f>
        <v/>
      </c>
      <c r="E33">
        <f>Data_Awal!E33</f>
        <v/>
      </c>
      <c r="F33">
        <f>Data_Awal!F33</f>
        <v/>
      </c>
      <c r="G33">
        <f>Data_Awal!G33</f>
        <v/>
      </c>
      <c r="H33">
        <f>Data_Awal!H33</f>
        <v/>
      </c>
      <c r="I33">
        <f>Data_Awal!I33</f>
        <v/>
      </c>
      <c r="J33">
        <f>JIKA(Normalisasi!$C$54=0;0;(Normalisasi!$C$33-Normalisasi!$C$53)/Normalisasi!$C$54)</f>
        <v/>
      </c>
      <c r="K33">
        <f>JIKA(Normalisasi!$D$54=0;0;(Normalisasi!$D$33-Normalisasi!$D$53)/Normalisasi!$D$54)</f>
        <v/>
      </c>
      <c r="L33">
        <f>JIKA(Normalisasi!$E$54=0;0;(Normalisasi!$E$33-Normalisasi!$E$53)/Normalisasi!$E$54)</f>
        <v/>
      </c>
      <c r="M33">
        <f>JIKA(Normalisasi!$F$54=0;0;(Normalisasi!$F$33-Normalisasi!$F$53)/Normalisasi!$F$54)</f>
        <v/>
      </c>
      <c r="N33">
        <f>JIKA(Normalisasi!$G$54=0;0;(Normalisasi!$G$33-Normalisasi!$G$53)/Normalisasi!$G$54)</f>
        <v/>
      </c>
      <c r="O33">
        <f>JIKA(Normalisasi!$H$54=0;0;(Normalisasi!$H$33-Normalisasi!$H$53)/Normalisasi!$H$54)</f>
        <v/>
      </c>
      <c r="P33">
        <f>JIKA(Normalisasi!$I$54=0;0;(Normalisasi!$I$33-Normalisasi!$I$53)/Normalisasi!$I$54)</f>
        <v/>
      </c>
      <c r="Q33">
        <f>MAKS(ABS(Normalisasi!$J$33-Normalisasi!$R$33);ABS(Normalisasi!$K$33-Normalisasi!$S$33);ABS(Normalisasi!$L$33-Normalisasi!$T$33);ABS(Normalisasi!$M$33-Normalisasi!$U$33);ABS(Normalisasi!$N$33-Normalisasi!$V$33);ABS(Normalisasi!$O$33-Normalisasi!$W$33);ABS(Normalisasi!$P$33-Normalisasi!$X$33))</f>
        <v/>
      </c>
      <c r="R33" t="n">
        <v>-0.05797055501367791</v>
      </c>
      <c r="S33" t="n">
        <v>-1.729211042942835</v>
      </c>
      <c r="T33" t="n">
        <v>-1.083297731022657</v>
      </c>
      <c r="U33" t="n">
        <v>-0.768779016183971</v>
      </c>
      <c r="V33" t="n">
        <v>-1.296718558658914</v>
      </c>
      <c r="W33" t="n">
        <v>-0.654802831928147</v>
      </c>
      <c r="X33" t="n">
        <v>-1.541746493426781</v>
      </c>
    </row>
    <row r="34">
      <c r="A34">
        <f>Data_Awal!A34</f>
        <v/>
      </c>
      <c r="B34">
        <f>Data_Awal!B34</f>
        <v/>
      </c>
      <c r="C34">
        <f>Data_Awal!C34</f>
        <v/>
      </c>
      <c r="D34">
        <f>Data_Awal!D34</f>
        <v/>
      </c>
      <c r="E34">
        <f>Data_Awal!E34</f>
        <v/>
      </c>
      <c r="F34">
        <f>Data_Awal!F34</f>
        <v/>
      </c>
      <c r="G34">
        <f>Data_Awal!G34</f>
        <v/>
      </c>
      <c r="H34">
        <f>Data_Awal!H34</f>
        <v/>
      </c>
      <c r="I34">
        <f>Data_Awal!I34</f>
        <v/>
      </c>
      <c r="J34">
        <f>JIKA(Normalisasi!$C$54=0;0;(Normalisasi!$C$34-Normalisasi!$C$53)/Normalisasi!$C$54)</f>
        <v/>
      </c>
      <c r="K34">
        <f>JIKA(Normalisasi!$D$54=0;0;(Normalisasi!$D$34-Normalisasi!$D$53)/Normalisasi!$D$54)</f>
        <v/>
      </c>
      <c r="L34">
        <f>JIKA(Normalisasi!$E$54=0;0;(Normalisasi!$E$34-Normalisasi!$E$53)/Normalisasi!$E$54)</f>
        <v/>
      </c>
      <c r="M34">
        <f>JIKA(Normalisasi!$F$54=0;0;(Normalisasi!$F$34-Normalisasi!$F$53)/Normalisasi!$F$54)</f>
        <v/>
      </c>
      <c r="N34">
        <f>JIKA(Normalisasi!$G$54=0;0;(Normalisasi!$G$34-Normalisasi!$G$53)/Normalisasi!$G$54)</f>
        <v/>
      </c>
      <c r="O34">
        <f>JIKA(Normalisasi!$H$54=0;0;(Normalisasi!$H$34-Normalisasi!$H$53)/Normalisasi!$H$54)</f>
        <v/>
      </c>
      <c r="P34">
        <f>JIKA(Normalisasi!$I$54=0;0;(Normalisasi!$I$34-Normalisasi!$I$53)/Normalisasi!$I$54)</f>
        <v/>
      </c>
      <c r="Q34">
        <f>MAKS(ABS(Normalisasi!$J$34-Normalisasi!$R$34);ABS(Normalisasi!$K$34-Normalisasi!$S$34);ABS(Normalisasi!$L$34-Normalisasi!$T$34);ABS(Normalisasi!$M$34-Normalisasi!$U$34);ABS(Normalisasi!$N$34-Normalisasi!$V$34);ABS(Normalisasi!$O$34-Normalisasi!$W$34);ABS(Normalisasi!$P$34-Normalisasi!$X$34))</f>
        <v/>
      </c>
      <c r="R34" t="n">
        <v>0.4986951437508722</v>
      </c>
      <c r="S34" t="n">
        <v>1.094215470068673</v>
      </c>
      <c r="T34" t="n">
        <v>0.1955676084984519</v>
      </c>
      <c r="U34" t="n">
        <v>-0.01986638839807922</v>
      </c>
      <c r="V34" t="n">
        <v>1.354309683812299</v>
      </c>
      <c r="W34" t="n">
        <v>0.5144879393721155</v>
      </c>
      <c r="X34" t="n">
        <v>-0.7933258655497027</v>
      </c>
    </row>
    <row r="35">
      <c r="A35">
        <f>Data_Awal!A35</f>
        <v/>
      </c>
      <c r="B35">
        <f>Data_Awal!B35</f>
        <v/>
      </c>
      <c r="C35">
        <f>Data_Awal!C35</f>
        <v/>
      </c>
      <c r="D35">
        <f>Data_Awal!D35</f>
        <v/>
      </c>
      <c r="E35">
        <f>Data_Awal!E35</f>
        <v/>
      </c>
      <c r="F35">
        <f>Data_Awal!F35</f>
        <v/>
      </c>
      <c r="G35">
        <f>Data_Awal!G35</f>
        <v/>
      </c>
      <c r="H35">
        <f>Data_Awal!H35</f>
        <v/>
      </c>
      <c r="I35">
        <f>Data_Awal!I35</f>
        <v/>
      </c>
      <c r="J35">
        <f>JIKA(Normalisasi!$C$54=0;0;(Normalisasi!$C$35-Normalisasi!$C$53)/Normalisasi!$C$54)</f>
        <v/>
      </c>
      <c r="K35">
        <f>JIKA(Normalisasi!$D$54=0;0;(Normalisasi!$D$35-Normalisasi!$D$53)/Normalisasi!$D$54)</f>
        <v/>
      </c>
      <c r="L35">
        <f>JIKA(Normalisasi!$E$54=0;0;(Normalisasi!$E$35-Normalisasi!$E$53)/Normalisasi!$E$54)</f>
        <v/>
      </c>
      <c r="M35">
        <f>JIKA(Normalisasi!$F$54=0;0;(Normalisasi!$F$35-Normalisasi!$F$53)/Normalisasi!$F$54)</f>
        <v/>
      </c>
      <c r="N35">
        <f>JIKA(Normalisasi!$G$54=0;0;(Normalisasi!$G$35-Normalisasi!$G$53)/Normalisasi!$G$54)</f>
        <v/>
      </c>
      <c r="O35">
        <f>JIKA(Normalisasi!$H$54=0;0;(Normalisasi!$H$35-Normalisasi!$H$53)/Normalisasi!$H$54)</f>
        <v/>
      </c>
      <c r="P35">
        <f>JIKA(Normalisasi!$I$54=0;0;(Normalisasi!$I$35-Normalisasi!$I$53)/Normalisasi!$I$54)</f>
        <v/>
      </c>
      <c r="Q35">
        <f>MAKS(ABS(Normalisasi!$J$35-Normalisasi!$R$35);ABS(Normalisasi!$K$35-Normalisasi!$S$35);ABS(Normalisasi!$L$35-Normalisasi!$T$35);ABS(Normalisasi!$M$35-Normalisasi!$U$35);ABS(Normalisasi!$N$35-Normalisasi!$V$35);ABS(Normalisasi!$O$35-Normalisasi!$W$35);ABS(Normalisasi!$P$35-Normalisasi!$X$35))</f>
        <v/>
      </c>
      <c r="R35" t="n">
        <v>-0.9275582358068799</v>
      </c>
      <c r="S35" t="n">
        <v>-1.003904722505795</v>
      </c>
      <c r="T35" t="n">
        <v>0.6785050428012049</v>
      </c>
      <c r="U35" t="n">
        <v>-1.119171988167106</v>
      </c>
      <c r="V35" t="n">
        <v>0.2135693428724445</v>
      </c>
      <c r="W35" t="n">
        <v>-1.385609563990811</v>
      </c>
      <c r="X35" t="n">
        <v>0.4540418475787608</v>
      </c>
    </row>
    <row r="36">
      <c r="A36">
        <f>Data_Awal!A36</f>
        <v/>
      </c>
      <c r="B36">
        <f>Data_Awal!B36</f>
        <v/>
      </c>
      <c r="C36">
        <f>Data_Awal!C36</f>
        <v/>
      </c>
      <c r="D36">
        <f>Data_Awal!D36</f>
        <v/>
      </c>
      <c r="E36">
        <f>Data_Awal!E36</f>
        <v/>
      </c>
      <c r="F36">
        <f>Data_Awal!F36</f>
        <v/>
      </c>
      <c r="G36">
        <f>Data_Awal!G36</f>
        <v/>
      </c>
      <c r="H36">
        <f>Data_Awal!H36</f>
        <v/>
      </c>
      <c r="I36">
        <f>Data_Awal!I36</f>
        <v/>
      </c>
      <c r="J36">
        <f>JIKA(Normalisasi!$C$54=0;0;(Normalisasi!$C$36-Normalisasi!$C$53)/Normalisasi!$C$54)</f>
        <v/>
      </c>
      <c r="K36">
        <f>JIKA(Normalisasi!$D$54=0;0;(Normalisasi!$D$36-Normalisasi!$D$53)/Normalisasi!$D$54)</f>
        <v/>
      </c>
      <c r="L36">
        <f>JIKA(Normalisasi!$E$54=0;0;(Normalisasi!$E$36-Normalisasi!$E$53)/Normalisasi!$E$54)</f>
        <v/>
      </c>
      <c r="M36">
        <f>JIKA(Normalisasi!$F$54=0;0;(Normalisasi!$F$36-Normalisasi!$F$53)/Normalisasi!$F$54)</f>
        <v/>
      </c>
      <c r="N36">
        <f>JIKA(Normalisasi!$G$54=0;0;(Normalisasi!$G$36-Normalisasi!$G$53)/Normalisasi!$G$54)</f>
        <v/>
      </c>
      <c r="O36">
        <f>JIKA(Normalisasi!$H$54=0;0;(Normalisasi!$H$36-Normalisasi!$H$53)/Normalisasi!$H$54)</f>
        <v/>
      </c>
      <c r="P36">
        <f>JIKA(Normalisasi!$I$54=0;0;(Normalisasi!$I$36-Normalisasi!$I$53)/Normalisasi!$I$54)</f>
        <v/>
      </c>
      <c r="Q36">
        <f>MAKS(ABS(Normalisasi!$J$36-Normalisasi!$R$36);ABS(Normalisasi!$K$36-Normalisasi!$S$36);ABS(Normalisasi!$L$36-Normalisasi!$T$36);ABS(Normalisasi!$M$36-Normalisasi!$U$36);ABS(Normalisasi!$N$36-Normalisasi!$V$36);ABS(Normalisasi!$O$36-Normalisasi!$W$36);ABS(Normalisasi!$P$36-Normalisasi!$X$36))</f>
        <v/>
      </c>
      <c r="R36" t="n">
        <v>1.342407172786326</v>
      </c>
      <c r="S36" t="n">
        <v>-0.4008752394805591</v>
      </c>
      <c r="T36" t="n">
        <v>-0.3321125462927718</v>
      </c>
      <c r="U36" t="n">
        <v>0.03131840339888075</v>
      </c>
      <c r="V36" t="n">
        <v>-1.139185864172924</v>
      </c>
      <c r="W36" t="n">
        <v>-1.531770910403344</v>
      </c>
      <c r="X36" t="n">
        <v>-0.5438523229240101</v>
      </c>
    </row>
    <row r="37">
      <c r="A37">
        <f>Data_Awal!A37</f>
        <v/>
      </c>
      <c r="B37">
        <f>Data_Awal!B37</f>
        <v/>
      </c>
      <c r="C37">
        <f>Data_Awal!C37</f>
        <v/>
      </c>
      <c r="D37">
        <f>Data_Awal!D37</f>
        <v/>
      </c>
      <c r="E37">
        <f>Data_Awal!E37</f>
        <v/>
      </c>
      <c r="F37">
        <f>Data_Awal!F37</f>
        <v/>
      </c>
      <c r="G37">
        <f>Data_Awal!G37</f>
        <v/>
      </c>
      <c r="H37">
        <f>Data_Awal!H37</f>
        <v/>
      </c>
      <c r="I37">
        <f>Data_Awal!I37</f>
        <v/>
      </c>
      <c r="J37">
        <f>JIKA(Normalisasi!$C$54=0;0;(Normalisasi!$C$37-Normalisasi!$C$53)/Normalisasi!$C$54)</f>
        <v/>
      </c>
      <c r="K37">
        <f>JIKA(Normalisasi!$D$54=0;0;(Normalisasi!$D$37-Normalisasi!$D$53)/Normalisasi!$D$54)</f>
        <v/>
      </c>
      <c r="L37">
        <f>JIKA(Normalisasi!$E$54=0;0;(Normalisasi!$E$37-Normalisasi!$E$53)/Normalisasi!$E$54)</f>
        <v/>
      </c>
      <c r="M37">
        <f>JIKA(Normalisasi!$F$54=0;0;(Normalisasi!$F$37-Normalisasi!$F$53)/Normalisasi!$F$54)</f>
        <v/>
      </c>
      <c r="N37">
        <f>JIKA(Normalisasi!$G$54=0;0;(Normalisasi!$G$37-Normalisasi!$G$53)/Normalisasi!$G$54)</f>
        <v/>
      </c>
      <c r="O37">
        <f>JIKA(Normalisasi!$H$54=0;0;(Normalisasi!$H$37-Normalisasi!$H$53)/Normalisasi!$H$54)</f>
        <v/>
      </c>
      <c r="P37">
        <f>JIKA(Normalisasi!$I$54=0;0;(Normalisasi!$I$37-Normalisasi!$I$53)/Normalisasi!$I$54)</f>
        <v/>
      </c>
      <c r="Q37">
        <f>MAKS(ABS(Normalisasi!$J$37-Normalisasi!$R$37);ABS(Normalisasi!$K$37-Normalisasi!$S$37);ABS(Normalisasi!$L$37-Normalisasi!$T$37);ABS(Normalisasi!$M$37-Normalisasi!$U$37);ABS(Normalisasi!$N$37-Normalisasi!$V$37);ABS(Normalisasi!$O$37-Normalisasi!$W$37);ABS(Normalisasi!$P$37-Normalisasi!$X$37))</f>
        <v/>
      </c>
      <c r="R37" t="n">
        <v>0.9318201632663896</v>
      </c>
      <c r="S37" t="n">
        <v>1.111343229077545</v>
      </c>
      <c r="T37" t="n">
        <v>0.7875345534376663</v>
      </c>
      <c r="U37" t="n">
        <v>0.831364970316861</v>
      </c>
      <c r="V37" t="n">
        <v>-0.6096540393372851</v>
      </c>
      <c r="W37" t="n">
        <v>-1.093286871165746</v>
      </c>
      <c r="X37" t="n">
        <v>0.2045683049530681</v>
      </c>
    </row>
    <row r="38">
      <c r="A38">
        <f>Data_Awal!A38</f>
        <v/>
      </c>
      <c r="B38">
        <f>Data_Awal!B38</f>
        <v/>
      </c>
      <c r="C38">
        <f>Data_Awal!C38</f>
        <v/>
      </c>
      <c r="D38">
        <f>Data_Awal!D38</f>
        <v/>
      </c>
      <c r="E38">
        <f>Data_Awal!E38</f>
        <v/>
      </c>
      <c r="F38">
        <f>Data_Awal!F38</f>
        <v/>
      </c>
      <c r="G38">
        <f>Data_Awal!G38</f>
        <v/>
      </c>
      <c r="H38">
        <f>Data_Awal!H38</f>
        <v/>
      </c>
      <c r="I38">
        <f>Data_Awal!I38</f>
        <v/>
      </c>
      <c r="J38">
        <f>JIKA(Normalisasi!$C$54=0;0;(Normalisasi!$C$38-Normalisasi!$C$53)/Normalisasi!$C$54)</f>
        <v/>
      </c>
      <c r="K38">
        <f>JIKA(Normalisasi!$D$54=0;0;(Normalisasi!$D$38-Normalisasi!$D$53)/Normalisasi!$D$54)</f>
        <v/>
      </c>
      <c r="L38">
        <f>JIKA(Normalisasi!$E$54=0;0;(Normalisasi!$E$38-Normalisasi!$E$53)/Normalisasi!$E$54)</f>
        <v/>
      </c>
      <c r="M38">
        <f>JIKA(Normalisasi!$F$54=0;0;(Normalisasi!$F$38-Normalisasi!$F$53)/Normalisasi!$F$54)</f>
        <v/>
      </c>
      <c r="N38">
        <f>JIKA(Normalisasi!$G$54=0;0;(Normalisasi!$G$38-Normalisasi!$G$53)/Normalisasi!$G$54)</f>
        <v/>
      </c>
      <c r="O38">
        <f>JIKA(Normalisasi!$H$54=0;0;(Normalisasi!$H$38-Normalisasi!$H$53)/Normalisasi!$H$54)</f>
        <v/>
      </c>
      <c r="P38">
        <f>JIKA(Normalisasi!$I$54=0;0;(Normalisasi!$I$38-Normalisasi!$I$53)/Normalisasi!$I$54)</f>
        <v/>
      </c>
      <c r="Q38">
        <f>MAKS(ABS(Normalisasi!$J$38-Normalisasi!$R$38);ABS(Normalisasi!$K$38-Normalisasi!$S$38);ABS(Normalisasi!$L$38-Normalisasi!$T$38);ABS(Normalisasi!$M$38-Normalisasi!$U$38);ABS(Normalisasi!$N$38-Normalisasi!$V$38);ABS(Normalisasi!$O$38-Normalisasi!$W$38);ABS(Normalisasi!$P$38-Normalisasi!$X$38))</f>
        <v/>
      </c>
      <c r="R38" t="n">
        <v>-1.792031462967197</v>
      </c>
      <c r="S38" t="n">
        <v>0.7014138957672275</v>
      </c>
      <c r="T38" t="n">
        <v>-0.5100501109656541</v>
      </c>
      <c r="U38" t="n">
        <v>0.4925518990387299</v>
      </c>
      <c r="V38" t="n">
        <v>0.8054776587845103</v>
      </c>
      <c r="W38" t="n">
        <v>-0.07015744627801582</v>
      </c>
      <c r="X38" t="n">
        <v>-0.2943787802983173</v>
      </c>
    </row>
    <row r="39">
      <c r="A39">
        <f>Data_Awal!A39</f>
        <v/>
      </c>
      <c r="B39">
        <f>Data_Awal!B39</f>
        <v/>
      </c>
      <c r="C39">
        <f>Data_Awal!C39</f>
        <v/>
      </c>
      <c r="D39">
        <f>Data_Awal!D39</f>
        <v/>
      </c>
      <c r="E39">
        <f>Data_Awal!E39</f>
        <v/>
      </c>
      <c r="F39">
        <f>Data_Awal!F39</f>
        <v/>
      </c>
      <c r="G39">
        <f>Data_Awal!G39</f>
        <v/>
      </c>
      <c r="H39">
        <f>Data_Awal!H39</f>
        <v/>
      </c>
      <c r="I39">
        <f>Data_Awal!I39</f>
        <v/>
      </c>
      <c r="J39">
        <f>JIKA(Normalisasi!$C$54=0;0;(Normalisasi!$C$39-Normalisasi!$C$53)/Normalisasi!$C$54)</f>
        <v/>
      </c>
      <c r="K39">
        <f>JIKA(Normalisasi!$D$54=0;0;(Normalisasi!$D$39-Normalisasi!$D$53)/Normalisasi!$D$54)</f>
        <v/>
      </c>
      <c r="L39">
        <f>JIKA(Normalisasi!$E$54=0;0;(Normalisasi!$E$39-Normalisasi!$E$53)/Normalisasi!$E$54)</f>
        <v/>
      </c>
      <c r="M39">
        <f>JIKA(Normalisasi!$F$54=0;0;(Normalisasi!$F$39-Normalisasi!$F$53)/Normalisasi!$F$54)</f>
        <v/>
      </c>
      <c r="N39">
        <f>JIKA(Normalisasi!$G$54=0;0;(Normalisasi!$G$39-Normalisasi!$G$53)/Normalisasi!$G$54)</f>
        <v/>
      </c>
      <c r="O39">
        <f>JIKA(Normalisasi!$H$54=0;0;(Normalisasi!$H$39-Normalisasi!$H$53)/Normalisasi!$H$54)</f>
        <v/>
      </c>
      <c r="P39">
        <f>JIKA(Normalisasi!$I$54=0;0;(Normalisasi!$I$39-Normalisasi!$I$53)/Normalisasi!$I$54)</f>
        <v/>
      </c>
      <c r="Q39">
        <f>MAKS(ABS(Normalisasi!$J$39-Normalisasi!$R$39);ABS(Normalisasi!$K$39-Normalisasi!$S$39);ABS(Normalisasi!$L$39-Normalisasi!$T$39);ABS(Normalisasi!$M$39-Normalisasi!$U$39);ABS(Normalisasi!$N$39-Normalisasi!$V$39);ABS(Normalisasi!$O$39-Normalisasi!$W$39);ABS(Normalisasi!$P$39-Normalisasi!$X$39))</f>
        <v/>
      </c>
      <c r="R39" t="n">
        <v>-0.7401041957094886</v>
      </c>
      <c r="S39" t="n">
        <v>-1.176364780884566</v>
      </c>
      <c r="T39" t="n">
        <v>0.4669715257034967</v>
      </c>
      <c r="U39" t="n">
        <v>1.72475616227459</v>
      </c>
      <c r="V39" t="n">
        <v>0.2503382852721005</v>
      </c>
      <c r="W39" t="n">
        <v>-1.531770910403344</v>
      </c>
      <c r="X39" t="n">
        <v>1.451936018081532</v>
      </c>
    </row>
    <row r="40">
      <c r="A40">
        <f>Data_Awal!A40</f>
        <v/>
      </c>
      <c r="B40">
        <f>Data_Awal!B40</f>
        <v/>
      </c>
      <c r="C40">
        <f>Data_Awal!C40</f>
        <v/>
      </c>
      <c r="D40">
        <f>Data_Awal!D40</f>
        <v/>
      </c>
      <c r="E40">
        <f>Data_Awal!E40</f>
        <v/>
      </c>
      <c r="F40">
        <f>Data_Awal!F40</f>
        <v/>
      </c>
      <c r="G40">
        <f>Data_Awal!G40</f>
        <v/>
      </c>
      <c r="H40">
        <f>Data_Awal!H40</f>
        <v/>
      </c>
      <c r="I40">
        <f>Data_Awal!I40</f>
        <v/>
      </c>
      <c r="J40">
        <f>JIKA(Normalisasi!$C$54=0;0;(Normalisasi!$C$40-Normalisasi!$C$53)/Normalisasi!$C$54)</f>
        <v/>
      </c>
      <c r="K40">
        <f>JIKA(Normalisasi!$D$54=0;0;(Normalisasi!$D$40-Normalisasi!$D$53)/Normalisasi!$D$54)</f>
        <v/>
      </c>
      <c r="L40">
        <f>JIKA(Normalisasi!$E$54=0;0;(Normalisasi!$E$40-Normalisasi!$E$53)/Normalisasi!$E$54)</f>
        <v/>
      </c>
      <c r="M40">
        <f>JIKA(Normalisasi!$F$54=0;0;(Normalisasi!$F$40-Normalisasi!$F$53)/Normalisasi!$F$54)</f>
        <v/>
      </c>
      <c r="N40">
        <f>JIKA(Normalisasi!$G$54=0;0;(Normalisasi!$G$40-Normalisasi!$G$53)/Normalisasi!$G$54)</f>
        <v/>
      </c>
      <c r="O40">
        <f>JIKA(Normalisasi!$H$54=0;0;(Normalisasi!$H$40-Normalisasi!$H$53)/Normalisasi!$H$54)</f>
        <v/>
      </c>
      <c r="P40">
        <f>JIKA(Normalisasi!$I$54=0;0;(Normalisasi!$I$40-Normalisasi!$I$53)/Normalisasi!$I$54)</f>
        <v/>
      </c>
      <c r="Q40">
        <f>MAKS(ABS(Normalisasi!$J$40-Normalisasi!$R$40);ABS(Normalisasi!$K$40-Normalisasi!$S$40);ABS(Normalisasi!$L$40-Normalisasi!$T$40);ABS(Normalisasi!$M$40-Normalisasi!$U$40);ABS(Normalisasi!$N$40-Normalisasi!$V$40);ABS(Normalisasi!$O$40-Normalisasi!$W$40);ABS(Normalisasi!$P$40-Normalisasi!$X$40))</f>
        <v/>
      </c>
      <c r="R40" t="n">
        <v>-0.7468554379685558</v>
      </c>
      <c r="S40" t="n">
        <v>0.1475960747703986</v>
      </c>
      <c r="T40" t="n">
        <v>-0.9551664201483813</v>
      </c>
      <c r="U40" t="n">
        <v>1.290305322297695</v>
      </c>
      <c r="V40" t="n">
        <v>0.4857659099024563</v>
      </c>
      <c r="W40" t="n">
        <v>-1.093286871165746</v>
      </c>
      <c r="X40" t="n">
        <v>-1.292272950801088</v>
      </c>
    </row>
    <row r="41">
      <c r="A41">
        <f>Data_Awal!A41</f>
        <v/>
      </c>
      <c r="B41">
        <f>Data_Awal!B41</f>
        <v/>
      </c>
      <c r="C41">
        <f>Data_Awal!C41</f>
        <v/>
      </c>
      <c r="D41">
        <f>Data_Awal!D41</f>
        <v/>
      </c>
      <c r="E41">
        <f>Data_Awal!E41</f>
        <v/>
      </c>
      <c r="F41">
        <f>Data_Awal!F41</f>
        <v/>
      </c>
      <c r="G41">
        <f>Data_Awal!G41</f>
        <v/>
      </c>
      <c r="H41">
        <f>Data_Awal!H41</f>
        <v/>
      </c>
      <c r="I41">
        <f>Data_Awal!I41</f>
        <v/>
      </c>
      <c r="J41">
        <f>JIKA(Normalisasi!$C$54=0;0;(Normalisasi!$C$41-Normalisasi!$C$53)/Normalisasi!$C$54)</f>
        <v/>
      </c>
      <c r="K41">
        <f>JIKA(Normalisasi!$D$54=0;0;(Normalisasi!$D$41-Normalisasi!$D$53)/Normalisasi!$D$54)</f>
        <v/>
      </c>
      <c r="L41">
        <f>JIKA(Normalisasi!$E$54=0;0;(Normalisasi!$E$41-Normalisasi!$E$53)/Normalisasi!$E$54)</f>
        <v/>
      </c>
      <c r="M41">
        <f>JIKA(Normalisasi!$F$54=0;0;(Normalisasi!$F$41-Normalisasi!$F$53)/Normalisasi!$F$54)</f>
        <v/>
      </c>
      <c r="N41">
        <f>JIKA(Normalisasi!$G$54=0;0;(Normalisasi!$G$41-Normalisasi!$G$53)/Normalisasi!$G$54)</f>
        <v/>
      </c>
      <c r="O41">
        <f>JIKA(Normalisasi!$H$54=0;0;(Normalisasi!$H$41-Normalisasi!$H$53)/Normalisasi!$H$54)</f>
        <v/>
      </c>
      <c r="P41">
        <f>JIKA(Normalisasi!$I$54=0;0;(Normalisasi!$I$41-Normalisasi!$I$53)/Normalisasi!$I$54)</f>
        <v/>
      </c>
      <c r="Q41">
        <f>MAKS(ABS(Normalisasi!$J$41-Normalisasi!$R$41);ABS(Normalisasi!$K$41-Normalisasi!$S$41);ABS(Normalisasi!$L$41-Normalisasi!$T$41);ABS(Normalisasi!$M$41-Normalisasi!$U$41);ABS(Normalisasi!$N$41-Normalisasi!$V$41);ABS(Normalisasi!$O$41-Normalisasi!$W$41);ABS(Normalisasi!$P$41-Normalisasi!$X$41))</f>
        <v/>
      </c>
      <c r="R41" t="n">
        <v>0.449823698894335</v>
      </c>
      <c r="S41" t="n">
        <v>-0.7890860243479161</v>
      </c>
      <c r="T41" t="n">
        <v>0.9337625451281159</v>
      </c>
      <c r="U41" t="n">
        <v>-1.268787047060255</v>
      </c>
      <c r="V41" t="n">
        <v>1.744350926915908</v>
      </c>
      <c r="W41" t="n">
        <v>1.537617364259845</v>
      </c>
      <c r="X41" t="n">
        <v>-0.5438523229240101</v>
      </c>
    </row>
    <row r="42">
      <c r="A42">
        <f>Data_Awal!A42</f>
        <v/>
      </c>
      <c r="B42">
        <f>Data_Awal!B42</f>
        <v/>
      </c>
      <c r="C42">
        <f>Data_Awal!C42</f>
        <v/>
      </c>
      <c r="D42">
        <f>Data_Awal!D42</f>
        <v/>
      </c>
      <c r="E42">
        <f>Data_Awal!E42</f>
        <v/>
      </c>
      <c r="F42">
        <f>Data_Awal!F42</f>
        <v/>
      </c>
      <c r="G42">
        <f>Data_Awal!G42</f>
        <v/>
      </c>
      <c r="H42">
        <f>Data_Awal!H42</f>
        <v/>
      </c>
      <c r="I42">
        <f>Data_Awal!I42</f>
        <v/>
      </c>
      <c r="J42">
        <f>JIKA(Normalisasi!$C$54=0;0;(Normalisasi!$C$42-Normalisasi!$C$53)/Normalisasi!$C$54)</f>
        <v/>
      </c>
      <c r="K42">
        <f>JIKA(Normalisasi!$D$54=0;0;(Normalisasi!$D$42-Normalisasi!$D$53)/Normalisasi!$D$54)</f>
        <v/>
      </c>
      <c r="L42">
        <f>JIKA(Normalisasi!$E$54=0;0;(Normalisasi!$E$42-Normalisasi!$E$53)/Normalisasi!$E$54)</f>
        <v/>
      </c>
      <c r="M42">
        <f>JIKA(Normalisasi!$F$54=0;0;(Normalisasi!$F$42-Normalisasi!$F$53)/Normalisasi!$F$54)</f>
        <v/>
      </c>
      <c r="N42">
        <f>JIKA(Normalisasi!$G$54=0;0;(Normalisasi!$G$42-Normalisasi!$G$53)/Normalisasi!$G$54)</f>
        <v/>
      </c>
      <c r="O42">
        <f>JIKA(Normalisasi!$H$54=0;0;(Normalisasi!$H$42-Normalisasi!$H$53)/Normalisasi!$H$54)</f>
        <v/>
      </c>
      <c r="P42">
        <f>JIKA(Normalisasi!$I$54=0;0;(Normalisasi!$I$42-Normalisasi!$I$53)/Normalisasi!$I$54)</f>
        <v/>
      </c>
      <c r="Q42">
        <f>MAKS(ABS(Normalisasi!$J$42-Normalisasi!$R$42);ABS(Normalisasi!$K$42-Normalisasi!$S$42);ABS(Normalisasi!$L$42-Normalisasi!$T$42);ABS(Normalisasi!$M$42-Normalisasi!$U$42);ABS(Normalisasi!$N$42-Normalisasi!$V$42);ABS(Normalisasi!$O$42-Normalisasi!$W$42);ABS(Normalisasi!$P$42-Normalisasi!$X$42))</f>
        <v/>
      </c>
      <c r="R42" t="n">
        <v>0.4430482109183473</v>
      </c>
      <c r="S42" t="n">
        <v>0.04487251350612641</v>
      </c>
      <c r="T42" t="n">
        <v>0.005294120956298764</v>
      </c>
      <c r="U42" t="n">
        <v>-0.6251469795654642</v>
      </c>
      <c r="V42" t="n">
        <v>-1.354337428729693</v>
      </c>
      <c r="W42" t="n">
        <v>0.2221652465470498</v>
      </c>
      <c r="X42" t="n">
        <v>0.4540418475787608</v>
      </c>
    </row>
    <row r="43">
      <c r="A43">
        <f>Data_Awal!A43</f>
        <v/>
      </c>
      <c r="B43">
        <f>Data_Awal!B43</f>
        <v/>
      </c>
      <c r="C43">
        <f>Data_Awal!C43</f>
        <v/>
      </c>
      <c r="D43">
        <f>Data_Awal!D43</f>
        <v/>
      </c>
      <c r="E43">
        <f>Data_Awal!E43</f>
        <v/>
      </c>
      <c r="F43">
        <f>Data_Awal!F43</f>
        <v/>
      </c>
      <c r="G43">
        <f>Data_Awal!G43</f>
        <v/>
      </c>
      <c r="H43">
        <f>Data_Awal!H43</f>
        <v/>
      </c>
      <c r="I43">
        <f>Data_Awal!I43</f>
        <v/>
      </c>
      <c r="J43">
        <f>JIKA(Normalisasi!$C$54=0;0;(Normalisasi!$C$43-Normalisasi!$C$53)/Normalisasi!$C$54)</f>
        <v/>
      </c>
      <c r="K43">
        <f>JIKA(Normalisasi!$D$54=0;0;(Normalisasi!$D$43-Normalisasi!$D$53)/Normalisasi!$D$54)</f>
        <v/>
      </c>
      <c r="L43">
        <f>JIKA(Normalisasi!$E$54=0;0;(Normalisasi!$E$43-Normalisasi!$E$53)/Normalisasi!$E$54)</f>
        <v/>
      </c>
      <c r="M43">
        <f>JIKA(Normalisasi!$F$54=0;0;(Normalisasi!$F$43-Normalisasi!$F$53)/Normalisasi!$F$54)</f>
        <v/>
      </c>
      <c r="N43">
        <f>JIKA(Normalisasi!$G$54=0;0;(Normalisasi!$G$43-Normalisasi!$G$53)/Normalisasi!$G$54)</f>
        <v/>
      </c>
      <c r="O43">
        <f>JIKA(Normalisasi!$H$54=0;0;(Normalisasi!$H$43-Normalisasi!$H$53)/Normalisasi!$H$54)</f>
        <v/>
      </c>
      <c r="P43">
        <f>JIKA(Normalisasi!$I$54=0;0;(Normalisasi!$I$43-Normalisasi!$I$53)/Normalisasi!$I$54)</f>
        <v/>
      </c>
      <c r="Q43">
        <f>MAKS(ABS(Normalisasi!$J$43-Normalisasi!$R$43);ABS(Normalisasi!$K$43-Normalisasi!$S$43);ABS(Normalisasi!$L$43-Normalisasi!$T$43);ABS(Normalisasi!$M$43-Normalisasi!$U$43);ABS(Normalisasi!$N$43-Normalisasi!$V$43);ABS(Normalisasi!$O$43-Normalisasi!$W$43);ABS(Normalisasi!$P$43-Normalisasi!$X$43))</f>
        <v/>
      </c>
      <c r="R43" t="n">
        <v>0.2498606045059245</v>
      </c>
      <c r="S43" t="n">
        <v>0.8933296462030473</v>
      </c>
      <c r="T43" t="n">
        <v>0.2768149992011439</v>
      </c>
      <c r="U43" t="n">
        <v>1.979203989144441</v>
      </c>
      <c r="V43" t="n">
        <v>-0.8576150326934295</v>
      </c>
      <c r="W43" t="n">
        <v>1.245294671434779</v>
      </c>
      <c r="X43" t="n">
        <v>-0.04490523767262462</v>
      </c>
    </row>
    <row r="44">
      <c r="A44">
        <f>Data_Awal!A44</f>
        <v/>
      </c>
      <c r="B44">
        <f>Data_Awal!B44</f>
        <v/>
      </c>
      <c r="C44">
        <f>Data_Awal!C44</f>
        <v/>
      </c>
      <c r="D44">
        <f>Data_Awal!D44</f>
        <v/>
      </c>
      <c r="E44">
        <f>Data_Awal!E44</f>
        <v/>
      </c>
      <c r="F44">
        <f>Data_Awal!F44</f>
        <v/>
      </c>
      <c r="G44">
        <f>Data_Awal!G44</f>
        <v/>
      </c>
      <c r="H44">
        <f>Data_Awal!H44</f>
        <v/>
      </c>
      <c r="I44">
        <f>Data_Awal!I44</f>
        <v/>
      </c>
      <c r="J44">
        <f>JIKA(Normalisasi!$C$54=0;0;(Normalisasi!$C$44-Normalisasi!$C$53)/Normalisasi!$C$54)</f>
        <v/>
      </c>
      <c r="K44">
        <f>JIKA(Normalisasi!$D$54=0;0;(Normalisasi!$D$44-Normalisasi!$D$53)/Normalisasi!$D$54)</f>
        <v/>
      </c>
      <c r="L44">
        <f>JIKA(Normalisasi!$E$54=0;0;(Normalisasi!$E$44-Normalisasi!$E$53)/Normalisasi!$E$54)</f>
        <v/>
      </c>
      <c r="M44">
        <f>JIKA(Normalisasi!$F$54=0;0;(Normalisasi!$F$44-Normalisasi!$F$53)/Normalisasi!$F$54)</f>
        <v/>
      </c>
      <c r="N44">
        <f>JIKA(Normalisasi!$G$54=0;0;(Normalisasi!$G$44-Normalisasi!$G$53)/Normalisasi!$G$54)</f>
        <v/>
      </c>
      <c r="O44">
        <f>JIKA(Normalisasi!$H$54=0;0;(Normalisasi!$H$44-Normalisasi!$H$53)/Normalisasi!$H$54)</f>
        <v/>
      </c>
      <c r="P44">
        <f>JIKA(Normalisasi!$I$54=0;0;(Normalisasi!$I$44-Normalisasi!$I$53)/Normalisasi!$I$54)</f>
        <v/>
      </c>
      <c r="Q44">
        <f>MAKS(ABS(Normalisasi!$J$44-Normalisasi!$R$44);ABS(Normalisasi!$K$44-Normalisasi!$S$44);ABS(Normalisasi!$L$44-Normalisasi!$T$44);ABS(Normalisasi!$M$44-Normalisasi!$U$44);ABS(Normalisasi!$N$44-Normalisasi!$V$44);ABS(Normalisasi!$O$44-Normalisasi!$W$44);ABS(Normalisasi!$P$44-Normalisasi!$X$44))</f>
        <v/>
      </c>
      <c r="R44" t="n">
        <v>1.50112595378986</v>
      </c>
      <c r="S44" t="n">
        <v>-0.8060187848458059</v>
      </c>
      <c r="T44" t="n">
        <v>0.02763402274417488</v>
      </c>
      <c r="U44" t="n">
        <v>-0.07784079793700227</v>
      </c>
      <c r="V44" t="n">
        <v>0.1038118210535504</v>
      </c>
      <c r="W44" t="n">
        <v>-0.2163187926905486</v>
      </c>
      <c r="X44" t="n">
        <v>0.7035153902044535</v>
      </c>
    </row>
    <row r="45">
      <c r="A45">
        <f>Data_Awal!A45</f>
        <v/>
      </c>
      <c r="B45">
        <f>Data_Awal!B45</f>
        <v/>
      </c>
      <c r="C45">
        <f>Data_Awal!C45</f>
        <v/>
      </c>
      <c r="D45">
        <f>Data_Awal!D45</f>
        <v/>
      </c>
      <c r="E45">
        <f>Data_Awal!E45</f>
        <v/>
      </c>
      <c r="F45">
        <f>Data_Awal!F45</f>
        <v/>
      </c>
      <c r="G45">
        <f>Data_Awal!G45</f>
        <v/>
      </c>
      <c r="H45">
        <f>Data_Awal!H45</f>
        <v/>
      </c>
      <c r="I45">
        <f>Data_Awal!I45</f>
        <v/>
      </c>
      <c r="J45">
        <f>JIKA(Normalisasi!$C$54=0;0;(Normalisasi!$C$45-Normalisasi!$C$53)/Normalisasi!$C$54)</f>
        <v/>
      </c>
      <c r="K45">
        <f>JIKA(Normalisasi!$D$54=0;0;(Normalisasi!$D$45-Normalisasi!$D$53)/Normalisasi!$D$54)</f>
        <v/>
      </c>
      <c r="L45">
        <f>JIKA(Normalisasi!$E$54=0;0;(Normalisasi!$E$45-Normalisasi!$E$53)/Normalisasi!$E$54)</f>
        <v/>
      </c>
      <c r="M45">
        <f>JIKA(Normalisasi!$F$54=0;0;(Normalisasi!$F$45-Normalisasi!$F$53)/Normalisasi!$F$54)</f>
        <v/>
      </c>
      <c r="N45">
        <f>JIKA(Normalisasi!$G$54=0;0;(Normalisasi!$G$45-Normalisasi!$G$53)/Normalisasi!$G$54)</f>
        <v/>
      </c>
      <c r="O45">
        <f>JIKA(Normalisasi!$H$54=0;0;(Normalisasi!$H$45-Normalisasi!$H$53)/Normalisasi!$H$54)</f>
        <v/>
      </c>
      <c r="P45">
        <f>JIKA(Normalisasi!$I$54=0;0;(Normalisasi!$I$45-Normalisasi!$I$53)/Normalisasi!$I$54)</f>
        <v/>
      </c>
      <c r="Q45">
        <f>MAKS(ABS(Normalisasi!$J$45-Normalisasi!$R$45);ABS(Normalisasi!$K$45-Normalisasi!$S$45);ABS(Normalisasi!$L$45-Normalisasi!$T$45);ABS(Normalisasi!$M$45-Normalisasi!$U$45);ABS(Normalisasi!$N$45-Normalisasi!$V$45);ABS(Normalisasi!$O$45-Normalisasi!$W$45);ABS(Normalisasi!$P$45-Normalisasi!$X$45))</f>
        <v/>
      </c>
      <c r="R45" t="n">
        <v>1.15080067700734</v>
      </c>
      <c r="S45" t="n">
        <v>-0.5500386748955062</v>
      </c>
      <c r="T45" t="n">
        <v>1.153359381686286</v>
      </c>
      <c r="U45" t="n">
        <v>-0.4658203652983938</v>
      </c>
      <c r="V45" t="n">
        <v>-1.245482943643035</v>
      </c>
      <c r="W45" t="n">
        <v>0.9529719786097139</v>
      </c>
      <c r="X45" t="n">
        <v>-1.042799408175396</v>
      </c>
    </row>
    <row r="46">
      <c r="A46">
        <f>Data_Awal!A46</f>
        <v/>
      </c>
      <c r="B46">
        <f>Data_Awal!B46</f>
        <v/>
      </c>
      <c r="C46">
        <f>Data_Awal!C46</f>
        <v/>
      </c>
      <c r="D46">
        <f>Data_Awal!D46</f>
        <v/>
      </c>
      <c r="E46">
        <f>Data_Awal!E46</f>
        <v/>
      </c>
      <c r="F46">
        <f>Data_Awal!F46</f>
        <v/>
      </c>
      <c r="G46">
        <f>Data_Awal!G46</f>
        <v/>
      </c>
      <c r="H46">
        <f>Data_Awal!H46</f>
        <v/>
      </c>
      <c r="I46">
        <f>Data_Awal!I46</f>
        <v/>
      </c>
      <c r="J46">
        <f>JIKA(Normalisasi!$C$54=0;0;(Normalisasi!$C$46-Normalisasi!$C$53)/Normalisasi!$C$54)</f>
        <v/>
      </c>
      <c r="K46">
        <f>JIKA(Normalisasi!$D$54=0;0;(Normalisasi!$D$46-Normalisasi!$D$53)/Normalisasi!$D$54)</f>
        <v/>
      </c>
      <c r="L46">
        <f>JIKA(Normalisasi!$E$54=0;0;(Normalisasi!$E$46-Normalisasi!$E$53)/Normalisasi!$E$54)</f>
        <v/>
      </c>
      <c r="M46">
        <f>JIKA(Normalisasi!$F$54=0;0;(Normalisasi!$F$46-Normalisasi!$F$53)/Normalisasi!$F$54)</f>
        <v/>
      </c>
      <c r="N46">
        <f>JIKA(Normalisasi!$G$54=0;0;(Normalisasi!$G$46-Normalisasi!$G$53)/Normalisasi!$G$54)</f>
        <v/>
      </c>
      <c r="O46">
        <f>JIKA(Normalisasi!$H$54=0;0;(Normalisasi!$H$46-Normalisasi!$H$53)/Normalisasi!$H$54)</f>
        <v/>
      </c>
      <c r="P46">
        <f>JIKA(Normalisasi!$I$54=0;0;(Normalisasi!$I$46-Normalisasi!$I$53)/Normalisasi!$I$54)</f>
        <v/>
      </c>
      <c r="Q46">
        <f>MAKS(ABS(Normalisasi!$J$46-Normalisasi!$R$46);ABS(Normalisasi!$K$46-Normalisasi!$S$46);ABS(Normalisasi!$L$46-Normalisasi!$T$46);ABS(Normalisasi!$M$46-Normalisasi!$U$46);ABS(Normalisasi!$N$46-Normalisasi!$V$46);ABS(Normalisasi!$O$46-Normalisasi!$W$46);ABS(Normalisasi!$P$46-Normalisasi!$X$46))</f>
        <v/>
      </c>
      <c r="R46" t="n">
        <v>1.255598521948131</v>
      </c>
      <c r="S46" t="n">
        <v>-0.755307928281999</v>
      </c>
      <c r="T46" t="n">
        <v>0.8716114973419635</v>
      </c>
      <c r="U46" t="n">
        <v>1.821003416461446</v>
      </c>
      <c r="V46" t="n">
        <v>-1.097259555273544</v>
      </c>
      <c r="W46" t="n">
        <v>-0.07015744627801582</v>
      </c>
      <c r="X46" t="n">
        <v>1.701409560707224</v>
      </c>
    </row>
    <row r="47">
      <c r="A47">
        <f>Data_Awal!A47</f>
        <v/>
      </c>
      <c r="B47">
        <f>Data_Awal!B47</f>
        <v/>
      </c>
      <c r="C47">
        <f>Data_Awal!C47</f>
        <v/>
      </c>
      <c r="D47">
        <f>Data_Awal!D47</f>
        <v/>
      </c>
      <c r="E47">
        <f>Data_Awal!E47</f>
        <v/>
      </c>
      <c r="F47">
        <f>Data_Awal!F47</f>
        <v/>
      </c>
      <c r="G47">
        <f>Data_Awal!G47</f>
        <v/>
      </c>
      <c r="H47">
        <f>Data_Awal!H47</f>
        <v/>
      </c>
      <c r="I47">
        <f>Data_Awal!I47</f>
        <v/>
      </c>
      <c r="J47">
        <f>JIKA(Normalisasi!$C$54=0;0;(Normalisasi!$C$47-Normalisasi!$C$53)/Normalisasi!$C$54)</f>
        <v/>
      </c>
      <c r="K47">
        <f>JIKA(Normalisasi!$D$54=0;0;(Normalisasi!$D$47-Normalisasi!$D$53)/Normalisasi!$D$54)</f>
        <v/>
      </c>
      <c r="L47">
        <f>JIKA(Normalisasi!$E$54=0;0;(Normalisasi!$E$47-Normalisasi!$E$53)/Normalisasi!$E$54)</f>
        <v/>
      </c>
      <c r="M47">
        <f>JIKA(Normalisasi!$F$54=0;0;(Normalisasi!$F$47-Normalisasi!$F$53)/Normalisasi!$F$54)</f>
        <v/>
      </c>
      <c r="N47">
        <f>JIKA(Normalisasi!$G$54=0;0;(Normalisasi!$G$47-Normalisasi!$G$53)/Normalisasi!$G$54)</f>
        <v/>
      </c>
      <c r="O47">
        <f>JIKA(Normalisasi!$H$54=0;0;(Normalisasi!$H$47-Normalisasi!$H$53)/Normalisasi!$H$54)</f>
        <v/>
      </c>
      <c r="P47">
        <f>JIKA(Normalisasi!$I$54=0;0;(Normalisasi!$I$47-Normalisasi!$I$53)/Normalisasi!$I$54)</f>
        <v/>
      </c>
      <c r="Q47">
        <f>MAKS(ABS(Normalisasi!$J$47-Normalisasi!$R$47);ABS(Normalisasi!$K$47-Normalisasi!$S$47);ABS(Normalisasi!$L$47-Normalisasi!$T$47);ABS(Normalisasi!$M$47-Normalisasi!$U$47);ABS(Normalisasi!$N$47-Normalisasi!$V$47);ABS(Normalisasi!$O$47-Normalisasi!$W$47);ABS(Normalisasi!$P$47-Normalisasi!$X$47))</f>
        <v/>
      </c>
      <c r="R47" t="n">
        <v>1.316211961151276</v>
      </c>
      <c r="S47" t="n">
        <v>-0.6559566770424459</v>
      </c>
      <c r="T47" t="n">
        <v>-0.6964600888130227</v>
      </c>
      <c r="U47" t="n">
        <v>0.6530319066606443</v>
      </c>
      <c r="V47" t="n">
        <v>-1.31936213346996</v>
      </c>
      <c r="W47" t="n">
        <v>1.099133325022247</v>
      </c>
      <c r="X47" t="n">
        <v>0.9529889328301463</v>
      </c>
    </row>
    <row r="48">
      <c r="A48">
        <f>Data_Awal!A48</f>
        <v/>
      </c>
      <c r="B48">
        <f>Data_Awal!B48</f>
        <v/>
      </c>
      <c r="C48">
        <f>Data_Awal!C48</f>
        <v/>
      </c>
      <c r="D48">
        <f>Data_Awal!D48</f>
        <v/>
      </c>
      <c r="E48">
        <f>Data_Awal!E48</f>
        <v/>
      </c>
      <c r="F48">
        <f>Data_Awal!F48</f>
        <v/>
      </c>
      <c r="G48">
        <f>Data_Awal!G48</f>
        <v/>
      </c>
      <c r="H48">
        <f>Data_Awal!H48</f>
        <v/>
      </c>
      <c r="I48">
        <f>Data_Awal!I48</f>
        <v/>
      </c>
      <c r="J48">
        <f>JIKA(Normalisasi!$C$54=0;0;(Normalisasi!$C$48-Normalisasi!$C$53)/Normalisasi!$C$54)</f>
        <v/>
      </c>
      <c r="K48">
        <f>JIKA(Normalisasi!$D$54=0;0;(Normalisasi!$D$48-Normalisasi!$D$53)/Normalisasi!$D$54)</f>
        <v/>
      </c>
      <c r="L48">
        <f>JIKA(Normalisasi!$E$54=0;0;(Normalisasi!$E$48-Normalisasi!$E$53)/Normalisasi!$E$54)</f>
        <v/>
      </c>
      <c r="M48">
        <f>JIKA(Normalisasi!$F$54=0;0;(Normalisasi!$F$48-Normalisasi!$F$53)/Normalisasi!$F$54)</f>
        <v/>
      </c>
      <c r="N48">
        <f>JIKA(Normalisasi!$G$54=0;0;(Normalisasi!$G$48-Normalisasi!$G$53)/Normalisasi!$G$54)</f>
        <v/>
      </c>
      <c r="O48">
        <f>JIKA(Normalisasi!$H$54=0;0;(Normalisasi!$H$48-Normalisasi!$H$53)/Normalisasi!$H$54)</f>
        <v/>
      </c>
      <c r="P48">
        <f>JIKA(Normalisasi!$I$54=0;0;(Normalisasi!$I$48-Normalisasi!$I$53)/Normalisasi!$I$54)</f>
        <v/>
      </c>
      <c r="Q48">
        <f>MAKS(ABS(Normalisasi!$J$48-Normalisasi!$R$48);ABS(Normalisasi!$K$48-Normalisasi!$S$48);ABS(Normalisasi!$L$48-Normalisasi!$T$48);ABS(Normalisasi!$M$48-Normalisasi!$U$48);ABS(Normalisasi!$N$48-Normalisasi!$V$48);ABS(Normalisasi!$O$48-Normalisasi!$W$48);ABS(Normalisasi!$P$48-Normalisasi!$X$48))</f>
        <v/>
      </c>
      <c r="R48" t="n">
        <v>-0.1355391303938848</v>
      </c>
      <c r="S48" t="n">
        <v>1.048564878669363</v>
      </c>
      <c r="T48" t="n">
        <v>1.034225881128676</v>
      </c>
      <c r="U48" t="n">
        <v>-0.1712675387629218</v>
      </c>
      <c r="V48" t="n">
        <v>1.598887791161901</v>
      </c>
      <c r="W48" t="n">
        <v>0.6606492857846482</v>
      </c>
      <c r="X48" t="n">
        <v>-1.292272950801088</v>
      </c>
    </row>
    <row r="49">
      <c r="A49">
        <f>Data_Awal!A49</f>
        <v/>
      </c>
      <c r="B49">
        <f>Data_Awal!B49</f>
        <v/>
      </c>
      <c r="C49">
        <f>Data_Awal!C49</f>
        <v/>
      </c>
      <c r="D49">
        <f>Data_Awal!D49</f>
        <v/>
      </c>
      <c r="E49">
        <f>Data_Awal!E49</f>
        <v/>
      </c>
      <c r="F49">
        <f>Data_Awal!F49</f>
        <v/>
      </c>
      <c r="G49">
        <f>Data_Awal!G49</f>
        <v/>
      </c>
      <c r="H49">
        <f>Data_Awal!H49</f>
        <v/>
      </c>
      <c r="I49">
        <f>Data_Awal!I49</f>
        <v/>
      </c>
      <c r="J49">
        <f>JIKA(Normalisasi!$C$54=0;0;(Normalisasi!$C$49-Normalisasi!$C$53)/Normalisasi!$C$54)</f>
        <v/>
      </c>
      <c r="K49">
        <f>JIKA(Normalisasi!$D$54=0;0;(Normalisasi!$D$49-Normalisasi!$D$53)/Normalisasi!$D$54)</f>
        <v/>
      </c>
      <c r="L49">
        <f>JIKA(Normalisasi!$E$54=0;0;(Normalisasi!$E$49-Normalisasi!$E$53)/Normalisasi!$E$54)</f>
        <v/>
      </c>
      <c r="M49">
        <f>JIKA(Normalisasi!$F$54=0;0;(Normalisasi!$F$49-Normalisasi!$F$53)/Normalisasi!$F$54)</f>
        <v/>
      </c>
      <c r="N49">
        <f>JIKA(Normalisasi!$G$54=0;0;(Normalisasi!$G$49-Normalisasi!$G$53)/Normalisasi!$G$54)</f>
        <v/>
      </c>
      <c r="O49">
        <f>JIKA(Normalisasi!$H$54=0;0;(Normalisasi!$H$49-Normalisasi!$H$53)/Normalisasi!$H$54)</f>
        <v/>
      </c>
      <c r="P49">
        <f>JIKA(Normalisasi!$I$54=0;0;(Normalisasi!$I$49-Normalisasi!$I$53)/Normalisasi!$I$54)</f>
        <v/>
      </c>
      <c r="Q49">
        <f>MAKS(ABS(Normalisasi!$J$49-Normalisasi!$R$49);ABS(Normalisasi!$K$49-Normalisasi!$S$49);ABS(Normalisasi!$L$49-Normalisasi!$T$49);ABS(Normalisasi!$M$49-Normalisasi!$U$49);ABS(Normalisasi!$N$49-Normalisasi!$V$49);ABS(Normalisasi!$O$49-Normalisasi!$W$49);ABS(Normalisasi!$P$49-Normalisasi!$X$49))</f>
        <v/>
      </c>
      <c r="R49" t="n">
        <v>-1.55973299718495</v>
      </c>
      <c r="S49" t="n">
        <v>-0.02017724104854536</v>
      </c>
      <c r="T49" t="n">
        <v>-0.2349232239802812</v>
      </c>
      <c r="U49" t="n">
        <v>-0.8104928968108788</v>
      </c>
      <c r="V49" t="n">
        <v>-1.323396676472428</v>
      </c>
      <c r="W49" t="n">
        <v>-0.2163187926905486</v>
      </c>
      <c r="X49" t="n">
        <v>0.2045683049530681</v>
      </c>
    </row>
    <row r="50">
      <c r="A50">
        <f>Data_Awal!A50</f>
        <v/>
      </c>
      <c r="B50">
        <f>Data_Awal!B50</f>
        <v/>
      </c>
      <c r="C50">
        <f>Data_Awal!C50</f>
        <v/>
      </c>
      <c r="D50">
        <f>Data_Awal!D50</f>
        <v/>
      </c>
      <c r="E50">
        <f>Data_Awal!E50</f>
        <v/>
      </c>
      <c r="F50">
        <f>Data_Awal!F50</f>
        <v/>
      </c>
      <c r="G50">
        <f>Data_Awal!G50</f>
        <v/>
      </c>
      <c r="H50">
        <f>Data_Awal!H50</f>
        <v/>
      </c>
      <c r="I50">
        <f>Data_Awal!I50</f>
        <v/>
      </c>
      <c r="J50">
        <f>JIKA(Normalisasi!$C$54=0;0;(Normalisasi!$C$50-Normalisasi!$C$53)/Normalisasi!$C$54)</f>
        <v/>
      </c>
      <c r="K50">
        <f>JIKA(Normalisasi!$D$54=0;0;(Normalisasi!$D$50-Normalisasi!$D$53)/Normalisasi!$D$54)</f>
        <v/>
      </c>
      <c r="L50">
        <f>JIKA(Normalisasi!$E$54=0;0;(Normalisasi!$E$50-Normalisasi!$E$53)/Normalisasi!$E$54)</f>
        <v/>
      </c>
      <c r="M50">
        <f>JIKA(Normalisasi!$F$54=0;0;(Normalisasi!$F$50-Normalisasi!$F$53)/Normalisasi!$F$54)</f>
        <v/>
      </c>
      <c r="N50">
        <f>JIKA(Normalisasi!$G$54=0;0;(Normalisasi!$G$50-Normalisasi!$G$53)/Normalisasi!$G$54)</f>
        <v/>
      </c>
      <c r="O50">
        <f>JIKA(Normalisasi!$H$54=0;0;(Normalisasi!$H$50-Normalisasi!$H$53)/Normalisasi!$H$54)</f>
        <v/>
      </c>
      <c r="P50">
        <f>JIKA(Normalisasi!$I$54=0;0;(Normalisasi!$I$50-Normalisasi!$I$53)/Normalisasi!$I$54)</f>
        <v/>
      </c>
      <c r="Q50">
        <f>MAKS(ABS(Normalisasi!$J$50-Normalisasi!$R$50);ABS(Normalisasi!$K$50-Normalisasi!$S$50);ABS(Normalisasi!$L$50-Normalisasi!$T$50);ABS(Normalisasi!$M$50-Normalisasi!$U$50);ABS(Normalisasi!$N$50-Normalisasi!$V$50);ABS(Normalisasi!$O$50-Normalisasi!$W$50);ABS(Normalisasi!$P$50-Normalisasi!$X$50))</f>
        <v/>
      </c>
      <c r="R50" t="n">
        <v>-1.277471113823648</v>
      </c>
      <c r="S50" t="n">
        <v>-0.6546480575259344</v>
      </c>
      <c r="T50" t="n">
        <v>-1.162993377889946</v>
      </c>
      <c r="U50" t="n">
        <v>-1.210010447922482</v>
      </c>
      <c r="V50" t="n">
        <v>-1.055316575932683</v>
      </c>
      <c r="W50" t="n">
        <v>0.3683265929595826</v>
      </c>
      <c r="X50" t="n">
        <v>-0.04490523767262462</v>
      </c>
    </row>
    <row r="51">
      <c r="A51">
        <f>Data_Awal!A51</f>
        <v/>
      </c>
      <c r="B51">
        <f>Data_Awal!B51</f>
        <v/>
      </c>
      <c r="C51">
        <f>Data_Awal!C51</f>
        <v/>
      </c>
      <c r="D51">
        <f>Data_Awal!D51</f>
        <v/>
      </c>
      <c r="E51">
        <f>Data_Awal!E51</f>
        <v/>
      </c>
      <c r="F51">
        <f>Data_Awal!F51</f>
        <v/>
      </c>
      <c r="G51">
        <f>Data_Awal!G51</f>
        <v/>
      </c>
      <c r="H51">
        <f>Data_Awal!H51</f>
        <v/>
      </c>
      <c r="I51">
        <f>Data_Awal!I51</f>
        <v/>
      </c>
      <c r="J51">
        <f>JIKA(Normalisasi!$C$54=0;0;(Normalisasi!$C$51-Normalisasi!$C$53)/Normalisasi!$C$54)</f>
        <v/>
      </c>
      <c r="K51">
        <f>JIKA(Normalisasi!$D$54=0;0;(Normalisasi!$D$51-Normalisasi!$D$53)/Normalisasi!$D$54)</f>
        <v/>
      </c>
      <c r="L51">
        <f>JIKA(Normalisasi!$E$54=0;0;(Normalisasi!$E$51-Normalisasi!$E$53)/Normalisasi!$E$54)</f>
        <v/>
      </c>
      <c r="M51">
        <f>JIKA(Normalisasi!$F$54=0;0;(Normalisasi!$F$51-Normalisasi!$F$53)/Normalisasi!$F$54)</f>
        <v/>
      </c>
      <c r="N51">
        <f>JIKA(Normalisasi!$G$54=0;0;(Normalisasi!$G$51-Normalisasi!$G$53)/Normalisasi!$G$54)</f>
        <v/>
      </c>
      <c r="O51">
        <f>JIKA(Normalisasi!$H$54=0;0;(Normalisasi!$H$51-Normalisasi!$H$53)/Normalisasi!$H$54)</f>
        <v/>
      </c>
      <c r="P51">
        <f>JIKA(Normalisasi!$I$54=0;0;(Normalisasi!$I$51-Normalisasi!$I$53)/Normalisasi!$I$54)</f>
        <v/>
      </c>
      <c r="Q51">
        <f>MAKS(ABS(Normalisasi!$J$51-Normalisasi!$R$51);ABS(Normalisasi!$K$51-Normalisasi!$S$51);ABS(Normalisasi!$L$51-Normalisasi!$T$51);ABS(Normalisasi!$M$51-Normalisasi!$U$51);ABS(Normalisasi!$N$51-Normalisasi!$V$51);ABS(Normalisasi!$O$51-Normalisasi!$W$51);ABS(Normalisasi!$P$51-Normalisasi!$X$51))</f>
        <v/>
      </c>
      <c r="R51" t="n">
        <v>1.188734624347286</v>
      </c>
      <c r="S51" t="n">
        <v>-0.8924193172435715</v>
      </c>
      <c r="T51" t="n">
        <v>0.4947431089616864</v>
      </c>
      <c r="U51" t="n">
        <v>-0.5656115151898812</v>
      </c>
      <c r="V51" t="n">
        <v>0.3241377950122515</v>
      </c>
      <c r="W51" t="n">
        <v>0.8068106321971811</v>
      </c>
      <c r="X51" t="n">
        <v>-0.04490523767262462</v>
      </c>
    </row>
    <row r="53">
      <c r="A53" t="inlineStr">
        <is>
          <t>RATA-RATA</t>
        </is>
      </c>
      <c r="C53">
        <f>RATA.RATA(Data_Awal!$C$2:$C$51)</f>
        <v/>
      </c>
      <c r="D53">
        <f>RATA.RATA(Data_Awal!$D$2:$D$51)</f>
        <v/>
      </c>
      <c r="E53">
        <f>RATA.RATA(Data_Awal!$E$2:$E$51)</f>
        <v/>
      </c>
      <c r="F53">
        <f>RATA.RATA(Data_Awal!$F$2:$F$51)</f>
        <v/>
      </c>
      <c r="G53">
        <f>RATA.RATA(Data_Awal!$G$2:$G$51)</f>
        <v/>
      </c>
      <c r="H53">
        <f>RATA.RATA(Data_Awal!$H$2:$H$51)</f>
        <v/>
      </c>
      <c r="I53">
        <f>RATA.RATA(Data_Awal!$I$2:$I$51)</f>
        <v/>
      </c>
    </row>
    <row r="54">
      <c r="A54" t="inlineStr">
        <is>
          <t>DEV.STANDAR.P</t>
        </is>
      </c>
      <c r="C54">
        <f>DEV.STANDAR.P(Data_Awal!$C$2:$C$51)</f>
        <v/>
      </c>
      <c r="D54">
        <f>DEV.STANDAR.P(Data_Awal!$D$2:$D$51)</f>
        <v/>
      </c>
      <c r="E54">
        <f>DEV.STANDAR.P(Data_Awal!$E$2:$E$51)</f>
        <v/>
      </c>
      <c r="F54">
        <f>DEV.STANDAR.P(Data_Awal!$F$2:$F$51)</f>
        <v/>
      </c>
      <c r="G54">
        <f>DEV.STANDAR.P(Data_Awal!$G$2:$G$51)</f>
        <v/>
      </c>
      <c r="H54">
        <f>DEV.STANDAR.P(Data_Awal!$H$2:$H$51)</f>
        <v/>
      </c>
      <c r="I54">
        <f>DEV.STANDAR.P(Data_Awal!$I$2:$I$51)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Centroid Awal (K-Means++ — indeks baris POI di Data_Awal)</t>
        </is>
      </c>
    </row>
    <row r="3">
      <c r="A3" s="1" t="inlineStr">
        <is>
          <t>Cluster</t>
        </is>
      </c>
      <c r="B3" s="1" t="inlineStr">
        <is>
          <t>Baris POI</t>
        </is>
      </c>
      <c r="C3" s="1" t="inlineStr">
        <is>
          <t>POI ID</t>
        </is>
      </c>
      <c r="D3" s="1" t="inlineStr">
        <is>
          <t>Nama POI</t>
        </is>
      </c>
      <c r="E3" s="1" t="inlineStr">
        <is>
          <t>Z Latitude</t>
        </is>
      </c>
      <c r="F3" s="1" t="inlineStr">
        <is>
          <t>Z Longitude</t>
        </is>
      </c>
      <c r="G3" s="1" t="inlineStr">
        <is>
          <t>Z Semantic Score</t>
        </is>
      </c>
      <c r="H3" s="1" t="inlineStr">
        <is>
          <t>Z Jarak Hotel (m)</t>
        </is>
      </c>
      <c r="I3" s="1" t="inlineStr">
        <is>
          <t>Z Jarak Halte (m)</t>
        </is>
      </c>
      <c r="J3" s="1" t="inlineStr">
        <is>
          <t>Z Restoran 500m</t>
        </is>
      </c>
      <c r="K3" s="1" t="inlineStr">
        <is>
          <t>Z Minimarket 500m</t>
        </is>
      </c>
    </row>
    <row r="4">
      <c r="A4" t="inlineStr">
        <is>
          <t>C0</t>
        </is>
      </c>
      <c r="B4" t="n">
        <v>42</v>
      </c>
      <c r="C4">
        <f>Data_Awal!A42</f>
        <v/>
      </c>
      <c r="D4">
        <f>Data_Awal!B42</f>
        <v/>
      </c>
      <c r="E4">
        <f>Normalisasi!J42</f>
        <v/>
      </c>
      <c r="F4">
        <f>Normalisasi!K42</f>
        <v/>
      </c>
      <c r="G4">
        <f>Normalisasi!L42</f>
        <v/>
      </c>
      <c r="H4">
        <f>Normalisasi!M42</f>
        <v/>
      </c>
      <c r="I4">
        <f>Normalisasi!N42</f>
        <v/>
      </c>
      <c r="J4">
        <f>Normalisasi!O42</f>
        <v/>
      </c>
      <c r="K4">
        <f>Normalisasi!P42</f>
        <v/>
      </c>
    </row>
    <row r="5">
      <c r="A5" t="inlineStr">
        <is>
          <t>C1</t>
        </is>
      </c>
      <c r="B5" t="n">
        <v>17</v>
      </c>
      <c r="C5">
        <f>Data_Awal!A17</f>
        <v/>
      </c>
      <c r="D5">
        <f>Data_Awal!B17</f>
        <v/>
      </c>
      <c r="E5">
        <f>Normalisasi!J17</f>
        <v/>
      </c>
      <c r="F5">
        <f>Normalisasi!K17</f>
        <v/>
      </c>
      <c r="G5">
        <f>Normalisasi!L17</f>
        <v/>
      </c>
      <c r="H5">
        <f>Normalisasi!M17</f>
        <v/>
      </c>
      <c r="I5">
        <f>Normalisasi!N17</f>
        <v/>
      </c>
      <c r="J5">
        <f>Normalisasi!O17</f>
        <v/>
      </c>
      <c r="K5">
        <f>Normalisasi!P17</f>
        <v/>
      </c>
    </row>
    <row r="6">
      <c r="A6" t="inlineStr">
        <is>
          <t>C2</t>
        </is>
      </c>
      <c r="B6" t="n">
        <v>47</v>
      </c>
      <c r="C6">
        <f>Data_Awal!A47</f>
        <v/>
      </c>
      <c r="D6">
        <f>Data_Awal!B47</f>
        <v/>
      </c>
      <c r="E6">
        <f>Normalisasi!J47</f>
        <v/>
      </c>
      <c r="F6">
        <f>Normalisasi!K47</f>
        <v/>
      </c>
      <c r="G6">
        <f>Normalisasi!L47</f>
        <v/>
      </c>
      <c r="H6">
        <f>Normalisasi!M47</f>
        <v/>
      </c>
      <c r="I6">
        <f>Normalisasi!N47</f>
        <v/>
      </c>
      <c r="J6">
        <f>Normalisasi!O47</f>
        <v/>
      </c>
      <c r="K6">
        <f>Normalisasi!P47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Iterasi Intelligent K-Means (rumus Excel + referensi Python)</t>
        </is>
      </c>
    </row>
    <row r="3">
      <c r="A3" s="4" t="inlineStr">
        <is>
          <t>ITER 0 — Centroid Awal</t>
        </is>
      </c>
    </row>
    <row r="4">
      <c r="A4" t="inlineStr">
        <is>
          <t>Cluster</t>
        </is>
      </c>
      <c r="B4" s="1" t="inlineStr">
        <is>
          <t>Z Latitude</t>
        </is>
      </c>
      <c r="C4" s="1" t="inlineStr">
        <is>
          <t>Z Longitude</t>
        </is>
      </c>
      <c r="D4" s="1" t="inlineStr">
        <is>
          <t>Z Semantic Score</t>
        </is>
      </c>
      <c r="E4" s="1" t="inlineStr">
        <is>
          <t>Z Jarak Hotel (m)</t>
        </is>
      </c>
      <c r="F4" s="1" t="inlineStr">
        <is>
          <t>Z Jarak Halte (m)</t>
        </is>
      </c>
      <c r="G4" s="1" t="inlineStr">
        <is>
          <t>Z Restoran 500m</t>
        </is>
      </c>
      <c r="H4" s="1" t="inlineStr">
        <is>
          <t>Z Minimarket 500m</t>
        </is>
      </c>
    </row>
    <row r="5">
      <c r="A5" t="inlineStr">
        <is>
          <t>C0</t>
        </is>
      </c>
      <c r="B5">
        <f>Inisialisasi!E4</f>
        <v/>
      </c>
      <c r="C5">
        <f>Inisialisasi!F4</f>
        <v/>
      </c>
      <c r="D5">
        <f>Inisialisasi!G4</f>
        <v/>
      </c>
      <c r="E5">
        <f>Inisialisasi!H4</f>
        <v/>
      </c>
      <c r="F5">
        <f>Inisialisasi!I4</f>
        <v/>
      </c>
      <c r="G5">
        <f>Inisialisasi!J4</f>
        <v/>
      </c>
      <c r="H5">
        <f>Inisialisasi!K4</f>
        <v/>
      </c>
    </row>
    <row r="6">
      <c r="A6" t="inlineStr">
        <is>
          <t>C1</t>
        </is>
      </c>
      <c r="B6">
        <f>Inisialisasi!E5</f>
        <v/>
      </c>
      <c r="C6">
        <f>Inisialisasi!F5</f>
        <v/>
      </c>
      <c r="D6">
        <f>Inisialisasi!G5</f>
        <v/>
      </c>
      <c r="E6">
        <f>Inisialisasi!H5</f>
        <v/>
      </c>
      <c r="F6">
        <f>Inisialisasi!I5</f>
        <v/>
      </c>
      <c r="G6">
        <f>Inisialisasi!J5</f>
        <v/>
      </c>
      <c r="H6">
        <f>Inisialisasi!K5</f>
        <v/>
      </c>
    </row>
    <row r="7">
      <c r="A7" t="inlineStr">
        <is>
          <t>C2</t>
        </is>
      </c>
      <c r="B7">
        <f>Inisialisasi!E6</f>
        <v/>
      </c>
      <c r="C7">
        <f>Inisialisasi!F6</f>
        <v/>
      </c>
      <c r="D7">
        <f>Inisialisasi!G6</f>
        <v/>
      </c>
      <c r="E7">
        <f>Inisialisasi!H6</f>
        <v/>
      </c>
      <c r="F7">
        <f>Inisialisasi!I6</f>
        <v/>
      </c>
      <c r="G7">
        <f>Inisialisasi!J6</f>
        <v/>
      </c>
      <c r="H7">
        <f>Inisialisasi!K6</f>
        <v/>
      </c>
    </row>
    <row r="9">
      <c r="A9" s="4" t="inlineStr">
        <is>
          <t>ITER 1 — Assignment &amp; Centroid Baru</t>
        </is>
      </c>
    </row>
    <row r="10">
      <c r="A10" s="1" t="inlineStr">
        <is>
          <t>POI ID</t>
        </is>
      </c>
      <c r="B10" s="1" t="inlineStr">
        <is>
          <t>Nama</t>
        </is>
      </c>
      <c r="C10" s="1" t="inlineStr">
        <is>
          <t>d(C0)</t>
        </is>
      </c>
      <c r="D10" s="1" t="inlineStr">
        <is>
          <t>d(C1)</t>
        </is>
      </c>
      <c r="E10" s="1" t="inlineStr">
        <is>
          <t>d(C2)</t>
        </is>
      </c>
      <c r="F10" s="1" t="inlineStr">
        <is>
          <t>Cluster</t>
        </is>
      </c>
      <c r="G10" s="1" t="inlineStr">
        <is>
          <t>WCSS POI</t>
        </is>
      </c>
      <c r="H10" s="1" t="inlineStr">
        <is>
          <t>Py Cluster</t>
        </is>
      </c>
      <c r="I10" s="1" t="inlineStr">
        <is>
          <t>Py WCSS</t>
        </is>
      </c>
    </row>
    <row r="11">
      <c r="A11">
        <f>Data_Awal!A2</f>
        <v/>
      </c>
      <c r="B11">
        <f>Data_Awal!B2</f>
        <v/>
      </c>
      <c r="C11">
        <f>AKAR(JUMLAH(PANGKAT(Normalisasi!$J$2-Konvergensi!$B$5;2);PANGKAT(Normalisasi!$K$2-Konvergensi!$C$5;2);PANGKAT(Normalisasi!$L$2-Konvergensi!$D$5;2);PANGKAT(Normalisasi!$M$2-Konvergensi!$E$5;2);PANGKAT(Normalisasi!$N$2-Konvergensi!$F$5;2);PANGKAT(Normalisasi!$O$2-Konvergensi!$G$5;2);PANGKAT(Normalisasi!$P$2-Konvergensi!$H$5;2)))</f>
        <v/>
      </c>
      <c r="D11">
        <f>AKAR(JUMLAH(PANGKAT(Normalisasi!$J$2-Konvergensi!$B$6;2);PANGKAT(Normalisasi!$K$2-Konvergensi!$C$6;2);PANGKAT(Normalisasi!$L$2-Konvergensi!$D$6;2);PANGKAT(Normalisasi!$M$2-Konvergensi!$E$6;2);PANGKAT(Normalisasi!$N$2-Konvergensi!$F$6;2);PANGKAT(Normalisasi!$O$2-Konvergensi!$G$6;2);PANGKAT(Normalisasi!$P$2-Konvergensi!$H$6;2)))</f>
        <v/>
      </c>
      <c r="E11">
        <f>AKAR(JUMLAH(PANGKAT(Normalisasi!$J$2-Konvergensi!$B$7;2);PANGKAT(Normalisasi!$K$2-Konvergensi!$C$7;2);PANGKAT(Normalisasi!$L$2-Konvergensi!$D$7;2);PANGKAT(Normalisasi!$M$2-Konvergensi!$E$7;2);PANGKAT(Normalisasi!$N$2-Konvergensi!$F$7;2);PANGKAT(Normalisasi!$O$2-Konvergensi!$G$7;2);PANGKAT(Normalisasi!$P$2-Konvergensi!$H$7;2)))</f>
        <v/>
      </c>
      <c r="F11">
        <f>JIKA(C11&lt;=D11;=JIKA(C11&lt;=E11;0;2);=JIKA(D11&lt;=E11;1;2))</f>
        <v/>
      </c>
      <c r="G11">
        <f>JUMLAH(JIKA(F11=0;JUMLAH(PANGKAT(Normalisasi!$J$2-Konvergensi!$B$64;2);PANGKAT(Normalisasi!$K$2-Konvergensi!$C$64;2);PANGKAT(Normalisasi!$L$2-Konvergensi!$D$64;2);PANGKAT(Normalisasi!$M$2-Konvergensi!$E$64;2);PANGKAT(Normalisasi!$N$2-Konvergensi!$F$64;2);PANGKAT(Normalisasi!$O$2-Konvergensi!$G$64;2);PANGKAT(Normalisasi!$P$2-Konvergensi!$H$64;2));0);JIKA(F11=1;JUMLAH(PANGKAT(Normalisasi!$J$2-Konvergensi!$B$65;2);PANGKAT(Normalisasi!$K$2-Konvergensi!$C$65;2);PANGKAT(Normalisasi!$L$2-Konvergensi!$D$65;2);PANGKAT(Normalisasi!$M$2-Konvergensi!$E$65;2);PANGKAT(Normalisasi!$N$2-Konvergensi!$F$65;2);PANGKAT(Normalisasi!$O$2-Konvergensi!$G$65;2);PANGKAT(Normalisasi!$P$2-Konvergensi!$H$65;2));0);JIKA(F11=2;JUMLAH(PANGKAT(Normalisasi!$J$2-Konvergensi!$B$66;2);PANGKAT(Normalisasi!$K$2-Konvergensi!$C$66;2);PANGKAT(Normalisasi!$L$2-Konvergensi!$D$66;2);PANGKAT(Normalisasi!$M$2-Konvergensi!$E$66;2);PANGKAT(Normalisasi!$N$2-Konvergensi!$F$66;2);PANGKAT(Normalisasi!$O$2-Konvergensi!$G$66;2);PANGKAT(Normalisasi!$P$2-Konvergensi!$H$66;2));0))</f>
        <v/>
      </c>
      <c r="H11" t="n">
        <v>0</v>
      </c>
      <c r="I11" t="n">
        <v>6.651515171112656</v>
      </c>
    </row>
    <row r="12">
      <c r="A12">
        <f>Data_Awal!A3</f>
        <v/>
      </c>
      <c r="B12">
        <f>Data_Awal!B3</f>
        <v/>
      </c>
      <c r="C12">
        <f>AKAR(JUMLAH(PANGKAT(Normalisasi!$J$3-Konvergensi!$B$5;2);PANGKAT(Normalisasi!$K$3-Konvergensi!$C$5;2);PANGKAT(Normalisasi!$L$3-Konvergensi!$D$5;2);PANGKAT(Normalisasi!$M$3-Konvergensi!$E$5;2);PANGKAT(Normalisasi!$N$3-Konvergensi!$F$5;2);PANGKAT(Normalisasi!$O$3-Konvergensi!$G$5;2);PANGKAT(Normalisasi!$P$3-Konvergensi!$H$5;2)))</f>
        <v/>
      </c>
      <c r="D12">
        <f>AKAR(JUMLAH(PANGKAT(Normalisasi!$J$3-Konvergensi!$B$6;2);PANGKAT(Normalisasi!$K$3-Konvergensi!$C$6;2);PANGKAT(Normalisasi!$L$3-Konvergensi!$D$6;2);PANGKAT(Normalisasi!$M$3-Konvergensi!$E$6;2);PANGKAT(Normalisasi!$N$3-Konvergensi!$F$6;2);PANGKAT(Normalisasi!$O$3-Konvergensi!$G$6;2);PANGKAT(Normalisasi!$P$3-Konvergensi!$H$6;2)))</f>
        <v/>
      </c>
      <c r="E12">
        <f>AKAR(JUMLAH(PANGKAT(Normalisasi!$J$3-Konvergensi!$B$7;2);PANGKAT(Normalisasi!$K$3-Konvergensi!$C$7;2);PANGKAT(Normalisasi!$L$3-Konvergensi!$D$7;2);PANGKAT(Normalisasi!$M$3-Konvergensi!$E$7;2);PANGKAT(Normalisasi!$N$3-Konvergensi!$F$7;2);PANGKAT(Normalisasi!$O$3-Konvergensi!$G$7;2);PANGKAT(Normalisasi!$P$3-Konvergensi!$H$7;2)))</f>
        <v/>
      </c>
      <c r="F12">
        <f>JIKA(C12&lt;=D12;=JIKA(C12&lt;=E12;0;2);=JIKA(D12&lt;=E12;1;2))</f>
        <v/>
      </c>
      <c r="G12">
        <f>JUMLAH(JIKA(F12=0;JUMLAH(PANGKAT(Normalisasi!$J$3-Konvergensi!$B$64;2);PANGKAT(Normalisasi!$K$3-Konvergensi!$C$64;2);PANGKAT(Normalisasi!$L$3-Konvergensi!$D$64;2);PANGKAT(Normalisasi!$M$3-Konvergensi!$E$64;2);PANGKAT(Normalisasi!$N$3-Konvergensi!$F$64;2);PANGKAT(Normalisasi!$O$3-Konvergensi!$G$64;2);PANGKAT(Normalisasi!$P$3-Konvergensi!$H$64;2));0);JIKA(F12=1;JUMLAH(PANGKAT(Normalisasi!$J$3-Konvergensi!$B$65;2);PANGKAT(Normalisasi!$K$3-Konvergensi!$C$65;2);PANGKAT(Normalisasi!$L$3-Konvergensi!$D$65;2);PANGKAT(Normalisasi!$M$3-Konvergensi!$E$65;2);PANGKAT(Normalisasi!$N$3-Konvergensi!$F$65;2);PANGKAT(Normalisasi!$O$3-Konvergensi!$G$65;2);PANGKAT(Normalisasi!$P$3-Konvergensi!$H$65;2));0);JIKA(F12=2;JUMLAH(PANGKAT(Normalisasi!$J$3-Konvergensi!$B$66;2);PANGKAT(Normalisasi!$K$3-Konvergensi!$C$66;2);PANGKAT(Normalisasi!$L$3-Konvergensi!$D$66;2);PANGKAT(Normalisasi!$M$3-Konvergensi!$E$66;2);PANGKAT(Normalisasi!$N$3-Konvergensi!$F$66;2);PANGKAT(Normalisasi!$O$3-Konvergensi!$G$66;2);PANGKAT(Normalisasi!$P$3-Konvergensi!$H$66;2));0))</f>
        <v/>
      </c>
      <c r="H12" t="n">
        <v>2</v>
      </c>
      <c r="I12" t="n">
        <v>8.612129010996863</v>
      </c>
    </row>
    <row r="13">
      <c r="A13">
        <f>Data_Awal!A4</f>
        <v/>
      </c>
      <c r="B13">
        <f>Data_Awal!B4</f>
        <v/>
      </c>
      <c r="C13">
        <f>AKAR(JUMLAH(PANGKAT(Normalisasi!$J$4-Konvergensi!$B$5;2);PANGKAT(Normalisasi!$K$4-Konvergensi!$C$5;2);PANGKAT(Normalisasi!$L$4-Konvergensi!$D$5;2);PANGKAT(Normalisasi!$M$4-Konvergensi!$E$5;2);PANGKAT(Normalisasi!$N$4-Konvergensi!$F$5;2);PANGKAT(Normalisasi!$O$4-Konvergensi!$G$5;2);PANGKAT(Normalisasi!$P$4-Konvergensi!$H$5;2)))</f>
        <v/>
      </c>
      <c r="D13">
        <f>AKAR(JUMLAH(PANGKAT(Normalisasi!$J$4-Konvergensi!$B$6;2);PANGKAT(Normalisasi!$K$4-Konvergensi!$C$6;2);PANGKAT(Normalisasi!$L$4-Konvergensi!$D$6;2);PANGKAT(Normalisasi!$M$4-Konvergensi!$E$6;2);PANGKAT(Normalisasi!$N$4-Konvergensi!$F$6;2);PANGKAT(Normalisasi!$O$4-Konvergensi!$G$6;2);PANGKAT(Normalisasi!$P$4-Konvergensi!$H$6;2)))</f>
        <v/>
      </c>
      <c r="E13">
        <f>AKAR(JUMLAH(PANGKAT(Normalisasi!$J$4-Konvergensi!$B$7;2);PANGKAT(Normalisasi!$K$4-Konvergensi!$C$7;2);PANGKAT(Normalisasi!$L$4-Konvergensi!$D$7;2);PANGKAT(Normalisasi!$M$4-Konvergensi!$E$7;2);PANGKAT(Normalisasi!$N$4-Konvergensi!$F$7;2);PANGKAT(Normalisasi!$O$4-Konvergensi!$G$7;2);PANGKAT(Normalisasi!$P$4-Konvergensi!$H$7;2)))</f>
        <v/>
      </c>
      <c r="F13">
        <f>JIKA(C13&lt;=D13;=JIKA(C13&lt;=E13;0;2);=JIKA(D13&lt;=E13;1;2))</f>
        <v/>
      </c>
      <c r="G13">
        <f>JUMLAH(JIKA(F13=0;JUMLAH(PANGKAT(Normalisasi!$J$4-Konvergensi!$B$64;2);PANGKAT(Normalisasi!$K$4-Konvergensi!$C$64;2);PANGKAT(Normalisasi!$L$4-Konvergensi!$D$64;2);PANGKAT(Normalisasi!$M$4-Konvergensi!$E$64;2);PANGKAT(Normalisasi!$N$4-Konvergensi!$F$64;2);PANGKAT(Normalisasi!$O$4-Konvergensi!$G$64;2);PANGKAT(Normalisasi!$P$4-Konvergensi!$H$64;2));0);JIKA(F13=1;JUMLAH(PANGKAT(Normalisasi!$J$4-Konvergensi!$B$65;2);PANGKAT(Normalisasi!$K$4-Konvergensi!$C$65;2);PANGKAT(Normalisasi!$L$4-Konvergensi!$D$65;2);PANGKAT(Normalisasi!$M$4-Konvergensi!$E$65;2);PANGKAT(Normalisasi!$N$4-Konvergensi!$F$65;2);PANGKAT(Normalisasi!$O$4-Konvergensi!$G$65;2);PANGKAT(Normalisasi!$P$4-Konvergensi!$H$65;2));0);JIKA(F13=2;JUMLAH(PANGKAT(Normalisasi!$J$4-Konvergensi!$B$66;2);PANGKAT(Normalisasi!$K$4-Konvergensi!$C$66;2);PANGKAT(Normalisasi!$L$4-Konvergensi!$D$66;2);PANGKAT(Normalisasi!$M$4-Konvergensi!$E$66;2);PANGKAT(Normalisasi!$N$4-Konvergensi!$F$66;2);PANGKAT(Normalisasi!$O$4-Konvergensi!$G$66;2);PANGKAT(Normalisasi!$P$4-Konvergensi!$H$66;2));0))</f>
        <v/>
      </c>
      <c r="H13" t="n">
        <v>1</v>
      </c>
      <c r="I13" t="n">
        <v>5.552060275454276</v>
      </c>
    </row>
    <row r="14">
      <c r="A14">
        <f>Data_Awal!A5</f>
        <v/>
      </c>
      <c r="B14">
        <f>Data_Awal!B5</f>
        <v/>
      </c>
      <c r="C14">
        <f>AKAR(JUMLAH(PANGKAT(Normalisasi!$J$5-Konvergensi!$B$5;2);PANGKAT(Normalisasi!$K$5-Konvergensi!$C$5;2);PANGKAT(Normalisasi!$L$5-Konvergensi!$D$5;2);PANGKAT(Normalisasi!$M$5-Konvergensi!$E$5;2);PANGKAT(Normalisasi!$N$5-Konvergensi!$F$5;2);PANGKAT(Normalisasi!$O$5-Konvergensi!$G$5;2);PANGKAT(Normalisasi!$P$5-Konvergensi!$H$5;2)))</f>
        <v/>
      </c>
      <c r="D14">
        <f>AKAR(JUMLAH(PANGKAT(Normalisasi!$J$5-Konvergensi!$B$6;2);PANGKAT(Normalisasi!$K$5-Konvergensi!$C$6;2);PANGKAT(Normalisasi!$L$5-Konvergensi!$D$6;2);PANGKAT(Normalisasi!$M$5-Konvergensi!$E$6;2);PANGKAT(Normalisasi!$N$5-Konvergensi!$F$6;2);PANGKAT(Normalisasi!$O$5-Konvergensi!$G$6;2);PANGKAT(Normalisasi!$P$5-Konvergensi!$H$6;2)))</f>
        <v/>
      </c>
      <c r="E14">
        <f>AKAR(JUMLAH(PANGKAT(Normalisasi!$J$5-Konvergensi!$B$7;2);PANGKAT(Normalisasi!$K$5-Konvergensi!$C$7;2);PANGKAT(Normalisasi!$L$5-Konvergensi!$D$7;2);PANGKAT(Normalisasi!$M$5-Konvergensi!$E$7;2);PANGKAT(Normalisasi!$N$5-Konvergensi!$F$7;2);PANGKAT(Normalisasi!$O$5-Konvergensi!$G$7;2);PANGKAT(Normalisasi!$P$5-Konvergensi!$H$7;2)))</f>
        <v/>
      </c>
      <c r="F14">
        <f>JIKA(C14&lt;=D14;=JIKA(C14&lt;=E14;0;2);=JIKA(D14&lt;=E14;1;2))</f>
        <v/>
      </c>
      <c r="G14">
        <f>JUMLAH(JIKA(F14=0;JUMLAH(PANGKAT(Normalisasi!$J$5-Konvergensi!$B$64;2);PANGKAT(Normalisasi!$K$5-Konvergensi!$C$64;2);PANGKAT(Normalisasi!$L$5-Konvergensi!$D$64;2);PANGKAT(Normalisasi!$M$5-Konvergensi!$E$64;2);PANGKAT(Normalisasi!$N$5-Konvergensi!$F$64;2);PANGKAT(Normalisasi!$O$5-Konvergensi!$G$64;2);PANGKAT(Normalisasi!$P$5-Konvergensi!$H$64;2));0);JIKA(F14=1;JUMLAH(PANGKAT(Normalisasi!$J$5-Konvergensi!$B$65;2);PANGKAT(Normalisasi!$K$5-Konvergensi!$C$65;2);PANGKAT(Normalisasi!$L$5-Konvergensi!$D$65;2);PANGKAT(Normalisasi!$M$5-Konvergensi!$E$65;2);PANGKAT(Normalisasi!$N$5-Konvergensi!$F$65;2);PANGKAT(Normalisasi!$O$5-Konvergensi!$G$65;2);PANGKAT(Normalisasi!$P$5-Konvergensi!$H$65;2));0);JIKA(F14=2;JUMLAH(PANGKAT(Normalisasi!$J$5-Konvergensi!$B$66;2);PANGKAT(Normalisasi!$K$5-Konvergensi!$C$66;2);PANGKAT(Normalisasi!$L$5-Konvergensi!$D$66;2);PANGKAT(Normalisasi!$M$5-Konvergensi!$E$66;2);PANGKAT(Normalisasi!$N$5-Konvergensi!$F$66;2);PANGKAT(Normalisasi!$O$5-Konvergensi!$G$66;2);PANGKAT(Normalisasi!$P$5-Konvergensi!$H$66;2));0))</f>
        <v/>
      </c>
      <c r="H14" t="n">
        <v>0</v>
      </c>
      <c r="I14" t="n">
        <v>6.736407904612396</v>
      </c>
    </row>
    <row r="15">
      <c r="A15">
        <f>Data_Awal!A6</f>
        <v/>
      </c>
      <c r="B15">
        <f>Data_Awal!B6</f>
        <v/>
      </c>
      <c r="C15">
        <f>AKAR(JUMLAH(PANGKAT(Normalisasi!$J$6-Konvergensi!$B$5;2);PANGKAT(Normalisasi!$K$6-Konvergensi!$C$5;2);PANGKAT(Normalisasi!$L$6-Konvergensi!$D$5;2);PANGKAT(Normalisasi!$M$6-Konvergensi!$E$5;2);PANGKAT(Normalisasi!$N$6-Konvergensi!$F$5;2);PANGKAT(Normalisasi!$O$6-Konvergensi!$G$5;2);PANGKAT(Normalisasi!$P$6-Konvergensi!$H$5;2)))</f>
        <v/>
      </c>
      <c r="D15">
        <f>AKAR(JUMLAH(PANGKAT(Normalisasi!$J$6-Konvergensi!$B$6;2);PANGKAT(Normalisasi!$K$6-Konvergensi!$C$6;2);PANGKAT(Normalisasi!$L$6-Konvergensi!$D$6;2);PANGKAT(Normalisasi!$M$6-Konvergensi!$E$6;2);PANGKAT(Normalisasi!$N$6-Konvergensi!$F$6;2);PANGKAT(Normalisasi!$O$6-Konvergensi!$G$6;2);PANGKAT(Normalisasi!$P$6-Konvergensi!$H$6;2)))</f>
        <v/>
      </c>
      <c r="E15">
        <f>AKAR(JUMLAH(PANGKAT(Normalisasi!$J$6-Konvergensi!$B$7;2);PANGKAT(Normalisasi!$K$6-Konvergensi!$C$7;2);PANGKAT(Normalisasi!$L$6-Konvergensi!$D$7;2);PANGKAT(Normalisasi!$M$6-Konvergensi!$E$7;2);PANGKAT(Normalisasi!$N$6-Konvergensi!$F$7;2);PANGKAT(Normalisasi!$O$6-Konvergensi!$G$7;2);PANGKAT(Normalisasi!$P$6-Konvergensi!$H$7;2)))</f>
        <v/>
      </c>
      <c r="F15">
        <f>JIKA(C15&lt;=D15;=JIKA(C15&lt;=E15;0;2);=JIKA(D15&lt;=E15;1;2))</f>
        <v/>
      </c>
      <c r="G15">
        <f>JUMLAH(JIKA(F15=0;JUMLAH(PANGKAT(Normalisasi!$J$6-Konvergensi!$B$64;2);PANGKAT(Normalisasi!$K$6-Konvergensi!$C$64;2);PANGKAT(Normalisasi!$L$6-Konvergensi!$D$64;2);PANGKAT(Normalisasi!$M$6-Konvergensi!$E$64;2);PANGKAT(Normalisasi!$N$6-Konvergensi!$F$64;2);PANGKAT(Normalisasi!$O$6-Konvergensi!$G$64;2);PANGKAT(Normalisasi!$P$6-Konvergensi!$H$64;2));0);JIKA(F15=1;JUMLAH(PANGKAT(Normalisasi!$J$6-Konvergensi!$B$65;2);PANGKAT(Normalisasi!$K$6-Konvergensi!$C$65;2);PANGKAT(Normalisasi!$L$6-Konvergensi!$D$65;2);PANGKAT(Normalisasi!$M$6-Konvergensi!$E$65;2);PANGKAT(Normalisasi!$N$6-Konvergensi!$F$65;2);PANGKAT(Normalisasi!$O$6-Konvergensi!$G$65;2);PANGKAT(Normalisasi!$P$6-Konvergensi!$H$65;2));0);JIKA(F15=2;JUMLAH(PANGKAT(Normalisasi!$J$6-Konvergensi!$B$66;2);PANGKAT(Normalisasi!$K$6-Konvergensi!$C$66;2);PANGKAT(Normalisasi!$L$6-Konvergensi!$D$66;2);PANGKAT(Normalisasi!$M$6-Konvergensi!$E$66;2);PANGKAT(Normalisasi!$N$6-Konvergensi!$F$66;2);PANGKAT(Normalisasi!$O$6-Konvergensi!$G$66;2);PANGKAT(Normalisasi!$P$6-Konvergensi!$H$66;2));0))</f>
        <v/>
      </c>
      <c r="H15" t="n">
        <v>0</v>
      </c>
      <c r="I15" t="n">
        <v>6.966466466513396</v>
      </c>
    </row>
    <row r="16">
      <c r="A16">
        <f>Data_Awal!A7</f>
        <v/>
      </c>
      <c r="B16">
        <f>Data_Awal!B7</f>
        <v/>
      </c>
      <c r="C16">
        <f>AKAR(JUMLAH(PANGKAT(Normalisasi!$J$7-Konvergensi!$B$5;2);PANGKAT(Normalisasi!$K$7-Konvergensi!$C$5;2);PANGKAT(Normalisasi!$L$7-Konvergensi!$D$5;2);PANGKAT(Normalisasi!$M$7-Konvergensi!$E$5;2);PANGKAT(Normalisasi!$N$7-Konvergensi!$F$5;2);PANGKAT(Normalisasi!$O$7-Konvergensi!$G$5;2);PANGKAT(Normalisasi!$P$7-Konvergensi!$H$5;2)))</f>
        <v/>
      </c>
      <c r="D16">
        <f>AKAR(JUMLAH(PANGKAT(Normalisasi!$J$7-Konvergensi!$B$6;2);PANGKAT(Normalisasi!$K$7-Konvergensi!$C$6;2);PANGKAT(Normalisasi!$L$7-Konvergensi!$D$6;2);PANGKAT(Normalisasi!$M$7-Konvergensi!$E$6;2);PANGKAT(Normalisasi!$N$7-Konvergensi!$F$6;2);PANGKAT(Normalisasi!$O$7-Konvergensi!$G$6;2);PANGKAT(Normalisasi!$P$7-Konvergensi!$H$6;2)))</f>
        <v/>
      </c>
      <c r="E16">
        <f>AKAR(JUMLAH(PANGKAT(Normalisasi!$J$7-Konvergensi!$B$7;2);PANGKAT(Normalisasi!$K$7-Konvergensi!$C$7;2);PANGKAT(Normalisasi!$L$7-Konvergensi!$D$7;2);PANGKAT(Normalisasi!$M$7-Konvergensi!$E$7;2);PANGKAT(Normalisasi!$N$7-Konvergensi!$F$7;2);PANGKAT(Normalisasi!$O$7-Konvergensi!$G$7;2);PANGKAT(Normalisasi!$P$7-Konvergensi!$H$7;2)))</f>
        <v/>
      </c>
      <c r="F16">
        <f>JIKA(C16&lt;=D16;=JIKA(C16&lt;=E16;0;2);=JIKA(D16&lt;=E16;1;2))</f>
        <v/>
      </c>
      <c r="G16">
        <f>JUMLAH(JIKA(F16=0;JUMLAH(PANGKAT(Normalisasi!$J$7-Konvergensi!$B$64;2);PANGKAT(Normalisasi!$K$7-Konvergensi!$C$64;2);PANGKAT(Normalisasi!$L$7-Konvergensi!$D$64;2);PANGKAT(Normalisasi!$M$7-Konvergensi!$E$64;2);PANGKAT(Normalisasi!$N$7-Konvergensi!$F$64;2);PANGKAT(Normalisasi!$O$7-Konvergensi!$G$64;2);PANGKAT(Normalisasi!$P$7-Konvergensi!$H$64;2));0);JIKA(F16=1;JUMLAH(PANGKAT(Normalisasi!$J$7-Konvergensi!$B$65;2);PANGKAT(Normalisasi!$K$7-Konvergensi!$C$65;2);PANGKAT(Normalisasi!$L$7-Konvergensi!$D$65;2);PANGKAT(Normalisasi!$M$7-Konvergensi!$E$65;2);PANGKAT(Normalisasi!$N$7-Konvergensi!$F$65;2);PANGKAT(Normalisasi!$O$7-Konvergensi!$G$65;2);PANGKAT(Normalisasi!$P$7-Konvergensi!$H$65;2));0);JIKA(F16=2;JUMLAH(PANGKAT(Normalisasi!$J$7-Konvergensi!$B$66;2);PANGKAT(Normalisasi!$K$7-Konvergensi!$C$66;2);PANGKAT(Normalisasi!$L$7-Konvergensi!$D$66;2);PANGKAT(Normalisasi!$M$7-Konvergensi!$E$66;2);PANGKAT(Normalisasi!$N$7-Konvergensi!$F$66;2);PANGKAT(Normalisasi!$O$7-Konvergensi!$G$66;2);PANGKAT(Normalisasi!$P$7-Konvergensi!$H$66;2));0))</f>
        <v/>
      </c>
      <c r="H16" t="n">
        <v>0</v>
      </c>
      <c r="I16" t="n">
        <v>5.589324528994383</v>
      </c>
    </row>
    <row r="17">
      <c r="A17">
        <f>Data_Awal!A8</f>
        <v/>
      </c>
      <c r="B17">
        <f>Data_Awal!B8</f>
        <v/>
      </c>
      <c r="C17">
        <f>AKAR(JUMLAH(PANGKAT(Normalisasi!$J$8-Konvergensi!$B$5;2);PANGKAT(Normalisasi!$K$8-Konvergensi!$C$5;2);PANGKAT(Normalisasi!$L$8-Konvergensi!$D$5;2);PANGKAT(Normalisasi!$M$8-Konvergensi!$E$5;2);PANGKAT(Normalisasi!$N$8-Konvergensi!$F$5;2);PANGKAT(Normalisasi!$O$8-Konvergensi!$G$5;2);PANGKAT(Normalisasi!$P$8-Konvergensi!$H$5;2)))</f>
        <v/>
      </c>
      <c r="D17">
        <f>AKAR(JUMLAH(PANGKAT(Normalisasi!$J$8-Konvergensi!$B$6;2);PANGKAT(Normalisasi!$K$8-Konvergensi!$C$6;2);PANGKAT(Normalisasi!$L$8-Konvergensi!$D$6;2);PANGKAT(Normalisasi!$M$8-Konvergensi!$E$6;2);PANGKAT(Normalisasi!$N$8-Konvergensi!$F$6;2);PANGKAT(Normalisasi!$O$8-Konvergensi!$G$6;2);PANGKAT(Normalisasi!$P$8-Konvergensi!$H$6;2)))</f>
        <v/>
      </c>
      <c r="E17">
        <f>AKAR(JUMLAH(PANGKAT(Normalisasi!$J$8-Konvergensi!$B$7;2);PANGKAT(Normalisasi!$K$8-Konvergensi!$C$7;2);PANGKAT(Normalisasi!$L$8-Konvergensi!$D$7;2);PANGKAT(Normalisasi!$M$8-Konvergensi!$E$7;2);PANGKAT(Normalisasi!$N$8-Konvergensi!$F$7;2);PANGKAT(Normalisasi!$O$8-Konvergensi!$G$7;2);PANGKAT(Normalisasi!$P$8-Konvergensi!$H$7;2)))</f>
        <v/>
      </c>
      <c r="F17">
        <f>JIKA(C17&lt;=D17;=JIKA(C17&lt;=E17;0;2);=JIKA(D17&lt;=E17;1;2))</f>
        <v/>
      </c>
      <c r="G17">
        <f>JUMLAH(JIKA(F17=0;JUMLAH(PANGKAT(Normalisasi!$J$8-Konvergensi!$B$64;2);PANGKAT(Normalisasi!$K$8-Konvergensi!$C$64;2);PANGKAT(Normalisasi!$L$8-Konvergensi!$D$64;2);PANGKAT(Normalisasi!$M$8-Konvergensi!$E$64;2);PANGKAT(Normalisasi!$N$8-Konvergensi!$F$64;2);PANGKAT(Normalisasi!$O$8-Konvergensi!$G$64;2);PANGKAT(Normalisasi!$P$8-Konvergensi!$H$64;2));0);JIKA(F17=1;JUMLAH(PANGKAT(Normalisasi!$J$8-Konvergensi!$B$65;2);PANGKAT(Normalisasi!$K$8-Konvergensi!$C$65;2);PANGKAT(Normalisasi!$L$8-Konvergensi!$D$65;2);PANGKAT(Normalisasi!$M$8-Konvergensi!$E$65;2);PANGKAT(Normalisasi!$N$8-Konvergensi!$F$65;2);PANGKAT(Normalisasi!$O$8-Konvergensi!$G$65;2);PANGKAT(Normalisasi!$P$8-Konvergensi!$H$65;2));0);JIKA(F17=2;JUMLAH(PANGKAT(Normalisasi!$J$8-Konvergensi!$B$66;2);PANGKAT(Normalisasi!$K$8-Konvergensi!$C$66;2);PANGKAT(Normalisasi!$L$8-Konvergensi!$D$66;2);PANGKAT(Normalisasi!$M$8-Konvergensi!$E$66;2);PANGKAT(Normalisasi!$N$8-Konvergensi!$F$66;2);PANGKAT(Normalisasi!$O$8-Konvergensi!$G$66;2);PANGKAT(Normalisasi!$P$8-Konvergensi!$H$66;2));0))</f>
        <v/>
      </c>
      <c r="H17" t="n">
        <v>0</v>
      </c>
      <c r="I17" t="n">
        <v>8.732319721356136</v>
      </c>
    </row>
    <row r="18">
      <c r="A18">
        <f>Data_Awal!A9</f>
        <v/>
      </c>
      <c r="B18">
        <f>Data_Awal!B9</f>
        <v/>
      </c>
      <c r="C18">
        <f>AKAR(JUMLAH(PANGKAT(Normalisasi!$J$9-Konvergensi!$B$5;2);PANGKAT(Normalisasi!$K$9-Konvergensi!$C$5;2);PANGKAT(Normalisasi!$L$9-Konvergensi!$D$5;2);PANGKAT(Normalisasi!$M$9-Konvergensi!$E$5;2);PANGKAT(Normalisasi!$N$9-Konvergensi!$F$5;2);PANGKAT(Normalisasi!$O$9-Konvergensi!$G$5;2);PANGKAT(Normalisasi!$P$9-Konvergensi!$H$5;2)))</f>
        <v/>
      </c>
      <c r="D18">
        <f>AKAR(JUMLAH(PANGKAT(Normalisasi!$J$9-Konvergensi!$B$6;2);PANGKAT(Normalisasi!$K$9-Konvergensi!$C$6;2);PANGKAT(Normalisasi!$L$9-Konvergensi!$D$6;2);PANGKAT(Normalisasi!$M$9-Konvergensi!$E$6;2);PANGKAT(Normalisasi!$N$9-Konvergensi!$F$6;2);PANGKAT(Normalisasi!$O$9-Konvergensi!$G$6;2);PANGKAT(Normalisasi!$P$9-Konvergensi!$H$6;2)))</f>
        <v/>
      </c>
      <c r="E18">
        <f>AKAR(JUMLAH(PANGKAT(Normalisasi!$J$9-Konvergensi!$B$7;2);PANGKAT(Normalisasi!$K$9-Konvergensi!$C$7;2);PANGKAT(Normalisasi!$L$9-Konvergensi!$D$7;2);PANGKAT(Normalisasi!$M$9-Konvergensi!$E$7;2);PANGKAT(Normalisasi!$N$9-Konvergensi!$F$7;2);PANGKAT(Normalisasi!$O$9-Konvergensi!$G$7;2);PANGKAT(Normalisasi!$P$9-Konvergensi!$H$7;2)))</f>
        <v/>
      </c>
      <c r="F18">
        <f>JIKA(C18&lt;=D18;=JIKA(C18&lt;=E18;0;2);=JIKA(D18&lt;=E18;1;2))</f>
        <v/>
      </c>
      <c r="G18">
        <f>JUMLAH(JIKA(F18=0;JUMLAH(PANGKAT(Normalisasi!$J$9-Konvergensi!$B$64;2);PANGKAT(Normalisasi!$K$9-Konvergensi!$C$64;2);PANGKAT(Normalisasi!$L$9-Konvergensi!$D$64;2);PANGKAT(Normalisasi!$M$9-Konvergensi!$E$64;2);PANGKAT(Normalisasi!$N$9-Konvergensi!$F$64;2);PANGKAT(Normalisasi!$O$9-Konvergensi!$G$64;2);PANGKAT(Normalisasi!$P$9-Konvergensi!$H$64;2));0);JIKA(F18=1;JUMLAH(PANGKAT(Normalisasi!$J$9-Konvergensi!$B$65;2);PANGKAT(Normalisasi!$K$9-Konvergensi!$C$65;2);PANGKAT(Normalisasi!$L$9-Konvergensi!$D$65;2);PANGKAT(Normalisasi!$M$9-Konvergensi!$E$65;2);PANGKAT(Normalisasi!$N$9-Konvergensi!$F$65;2);PANGKAT(Normalisasi!$O$9-Konvergensi!$G$65;2);PANGKAT(Normalisasi!$P$9-Konvergensi!$H$65;2));0);JIKA(F18=2;JUMLAH(PANGKAT(Normalisasi!$J$9-Konvergensi!$B$66;2);PANGKAT(Normalisasi!$K$9-Konvergensi!$C$66;2);PANGKAT(Normalisasi!$L$9-Konvergensi!$D$66;2);PANGKAT(Normalisasi!$M$9-Konvergensi!$E$66;2);PANGKAT(Normalisasi!$N$9-Konvergensi!$F$66;2);PANGKAT(Normalisasi!$O$9-Konvergensi!$G$66;2);PANGKAT(Normalisasi!$P$9-Konvergensi!$H$66;2));0))</f>
        <v/>
      </c>
      <c r="H18" t="n">
        <v>1</v>
      </c>
      <c r="I18" t="n">
        <v>6.820275663607251</v>
      </c>
    </row>
    <row r="19">
      <c r="A19">
        <f>Data_Awal!A10</f>
        <v/>
      </c>
      <c r="B19">
        <f>Data_Awal!B10</f>
        <v/>
      </c>
      <c r="C19">
        <f>AKAR(JUMLAH(PANGKAT(Normalisasi!$J$10-Konvergensi!$B$5;2);PANGKAT(Normalisasi!$K$10-Konvergensi!$C$5;2);PANGKAT(Normalisasi!$L$10-Konvergensi!$D$5;2);PANGKAT(Normalisasi!$M$10-Konvergensi!$E$5;2);PANGKAT(Normalisasi!$N$10-Konvergensi!$F$5;2);PANGKAT(Normalisasi!$O$10-Konvergensi!$G$5;2);PANGKAT(Normalisasi!$P$10-Konvergensi!$H$5;2)))</f>
        <v/>
      </c>
      <c r="D19">
        <f>AKAR(JUMLAH(PANGKAT(Normalisasi!$J$10-Konvergensi!$B$6;2);PANGKAT(Normalisasi!$K$10-Konvergensi!$C$6;2);PANGKAT(Normalisasi!$L$10-Konvergensi!$D$6;2);PANGKAT(Normalisasi!$M$10-Konvergensi!$E$6;2);PANGKAT(Normalisasi!$N$10-Konvergensi!$F$6;2);PANGKAT(Normalisasi!$O$10-Konvergensi!$G$6;2);PANGKAT(Normalisasi!$P$10-Konvergensi!$H$6;2)))</f>
        <v/>
      </c>
      <c r="E19">
        <f>AKAR(JUMLAH(PANGKAT(Normalisasi!$J$10-Konvergensi!$B$7;2);PANGKAT(Normalisasi!$K$10-Konvergensi!$C$7;2);PANGKAT(Normalisasi!$L$10-Konvergensi!$D$7;2);PANGKAT(Normalisasi!$M$10-Konvergensi!$E$7;2);PANGKAT(Normalisasi!$N$10-Konvergensi!$F$7;2);PANGKAT(Normalisasi!$O$10-Konvergensi!$G$7;2);PANGKAT(Normalisasi!$P$10-Konvergensi!$H$7;2)))</f>
        <v/>
      </c>
      <c r="F19">
        <f>JIKA(C19&lt;=D19;=JIKA(C19&lt;=E19;0;2);=JIKA(D19&lt;=E19;1;2))</f>
        <v/>
      </c>
      <c r="G19">
        <f>JUMLAH(JIKA(F19=0;JUMLAH(PANGKAT(Normalisasi!$J$10-Konvergensi!$B$64;2);PANGKAT(Normalisasi!$K$10-Konvergensi!$C$64;2);PANGKAT(Normalisasi!$L$10-Konvergensi!$D$64;2);PANGKAT(Normalisasi!$M$10-Konvergensi!$E$64;2);PANGKAT(Normalisasi!$N$10-Konvergensi!$F$64;2);PANGKAT(Normalisasi!$O$10-Konvergensi!$G$64;2);PANGKAT(Normalisasi!$P$10-Konvergensi!$H$64;2));0);JIKA(F19=1;JUMLAH(PANGKAT(Normalisasi!$J$10-Konvergensi!$B$65;2);PANGKAT(Normalisasi!$K$10-Konvergensi!$C$65;2);PANGKAT(Normalisasi!$L$10-Konvergensi!$D$65;2);PANGKAT(Normalisasi!$M$10-Konvergensi!$E$65;2);PANGKAT(Normalisasi!$N$10-Konvergensi!$F$65;2);PANGKAT(Normalisasi!$O$10-Konvergensi!$G$65;2);PANGKAT(Normalisasi!$P$10-Konvergensi!$H$65;2));0);JIKA(F19=2;JUMLAH(PANGKAT(Normalisasi!$J$10-Konvergensi!$B$66;2);PANGKAT(Normalisasi!$K$10-Konvergensi!$C$66;2);PANGKAT(Normalisasi!$L$10-Konvergensi!$D$66;2);PANGKAT(Normalisasi!$M$10-Konvergensi!$E$66;2);PANGKAT(Normalisasi!$N$10-Konvergensi!$F$66;2);PANGKAT(Normalisasi!$O$10-Konvergensi!$G$66;2);PANGKAT(Normalisasi!$P$10-Konvergensi!$H$66;2));0))</f>
        <v/>
      </c>
      <c r="H19" t="n">
        <v>0</v>
      </c>
      <c r="I19" t="n">
        <v>4.327480647752671</v>
      </c>
    </row>
    <row r="20">
      <c r="A20">
        <f>Data_Awal!A11</f>
        <v/>
      </c>
      <c r="B20">
        <f>Data_Awal!B11</f>
        <v/>
      </c>
      <c r="C20">
        <f>AKAR(JUMLAH(PANGKAT(Normalisasi!$J$11-Konvergensi!$B$5;2);PANGKAT(Normalisasi!$K$11-Konvergensi!$C$5;2);PANGKAT(Normalisasi!$L$11-Konvergensi!$D$5;2);PANGKAT(Normalisasi!$M$11-Konvergensi!$E$5;2);PANGKAT(Normalisasi!$N$11-Konvergensi!$F$5;2);PANGKAT(Normalisasi!$O$11-Konvergensi!$G$5;2);PANGKAT(Normalisasi!$P$11-Konvergensi!$H$5;2)))</f>
        <v/>
      </c>
      <c r="D20">
        <f>AKAR(JUMLAH(PANGKAT(Normalisasi!$J$11-Konvergensi!$B$6;2);PANGKAT(Normalisasi!$K$11-Konvergensi!$C$6;2);PANGKAT(Normalisasi!$L$11-Konvergensi!$D$6;2);PANGKAT(Normalisasi!$M$11-Konvergensi!$E$6;2);PANGKAT(Normalisasi!$N$11-Konvergensi!$F$6;2);PANGKAT(Normalisasi!$O$11-Konvergensi!$G$6;2);PANGKAT(Normalisasi!$P$11-Konvergensi!$H$6;2)))</f>
        <v/>
      </c>
      <c r="E20">
        <f>AKAR(JUMLAH(PANGKAT(Normalisasi!$J$11-Konvergensi!$B$7;2);PANGKAT(Normalisasi!$K$11-Konvergensi!$C$7;2);PANGKAT(Normalisasi!$L$11-Konvergensi!$D$7;2);PANGKAT(Normalisasi!$M$11-Konvergensi!$E$7;2);PANGKAT(Normalisasi!$N$11-Konvergensi!$F$7;2);PANGKAT(Normalisasi!$O$11-Konvergensi!$G$7;2);PANGKAT(Normalisasi!$P$11-Konvergensi!$H$7;2)))</f>
        <v/>
      </c>
      <c r="F20">
        <f>JIKA(C20&lt;=D20;=JIKA(C20&lt;=E20;0;2);=JIKA(D20&lt;=E20;1;2))</f>
        <v/>
      </c>
      <c r="G20">
        <f>JUMLAH(JIKA(F20=0;JUMLAH(PANGKAT(Normalisasi!$J$11-Konvergensi!$B$64;2);PANGKAT(Normalisasi!$K$11-Konvergensi!$C$64;2);PANGKAT(Normalisasi!$L$11-Konvergensi!$D$64;2);PANGKAT(Normalisasi!$M$11-Konvergensi!$E$64;2);PANGKAT(Normalisasi!$N$11-Konvergensi!$F$64;2);PANGKAT(Normalisasi!$O$11-Konvergensi!$G$64;2);PANGKAT(Normalisasi!$P$11-Konvergensi!$H$64;2));0);JIKA(F20=1;JUMLAH(PANGKAT(Normalisasi!$J$11-Konvergensi!$B$65;2);PANGKAT(Normalisasi!$K$11-Konvergensi!$C$65;2);PANGKAT(Normalisasi!$L$11-Konvergensi!$D$65;2);PANGKAT(Normalisasi!$M$11-Konvergensi!$E$65;2);PANGKAT(Normalisasi!$N$11-Konvergensi!$F$65;2);PANGKAT(Normalisasi!$O$11-Konvergensi!$G$65;2);PANGKAT(Normalisasi!$P$11-Konvergensi!$H$65;2));0);JIKA(F20=2;JUMLAH(PANGKAT(Normalisasi!$J$11-Konvergensi!$B$66;2);PANGKAT(Normalisasi!$K$11-Konvergensi!$C$66;2);PANGKAT(Normalisasi!$L$11-Konvergensi!$D$66;2);PANGKAT(Normalisasi!$M$11-Konvergensi!$E$66;2);PANGKAT(Normalisasi!$N$11-Konvergensi!$F$66;2);PANGKAT(Normalisasi!$O$11-Konvergensi!$G$66;2);PANGKAT(Normalisasi!$P$11-Konvergensi!$H$66;2));0))</f>
        <v/>
      </c>
      <c r="H20" t="n">
        <v>1</v>
      </c>
      <c r="I20" t="n">
        <v>1.78821175655173</v>
      </c>
    </row>
    <row r="21">
      <c r="A21">
        <f>Data_Awal!A12</f>
        <v/>
      </c>
      <c r="B21">
        <f>Data_Awal!B12</f>
        <v/>
      </c>
      <c r="C21">
        <f>AKAR(JUMLAH(PANGKAT(Normalisasi!$J$12-Konvergensi!$B$5;2);PANGKAT(Normalisasi!$K$12-Konvergensi!$C$5;2);PANGKAT(Normalisasi!$L$12-Konvergensi!$D$5;2);PANGKAT(Normalisasi!$M$12-Konvergensi!$E$5;2);PANGKAT(Normalisasi!$N$12-Konvergensi!$F$5;2);PANGKAT(Normalisasi!$O$12-Konvergensi!$G$5;2);PANGKAT(Normalisasi!$P$12-Konvergensi!$H$5;2)))</f>
        <v/>
      </c>
      <c r="D21">
        <f>AKAR(JUMLAH(PANGKAT(Normalisasi!$J$12-Konvergensi!$B$6;2);PANGKAT(Normalisasi!$K$12-Konvergensi!$C$6;2);PANGKAT(Normalisasi!$L$12-Konvergensi!$D$6;2);PANGKAT(Normalisasi!$M$12-Konvergensi!$E$6;2);PANGKAT(Normalisasi!$N$12-Konvergensi!$F$6;2);PANGKAT(Normalisasi!$O$12-Konvergensi!$G$6;2);PANGKAT(Normalisasi!$P$12-Konvergensi!$H$6;2)))</f>
        <v/>
      </c>
      <c r="E21">
        <f>AKAR(JUMLAH(PANGKAT(Normalisasi!$J$12-Konvergensi!$B$7;2);PANGKAT(Normalisasi!$K$12-Konvergensi!$C$7;2);PANGKAT(Normalisasi!$L$12-Konvergensi!$D$7;2);PANGKAT(Normalisasi!$M$12-Konvergensi!$E$7;2);PANGKAT(Normalisasi!$N$12-Konvergensi!$F$7;2);PANGKAT(Normalisasi!$O$12-Konvergensi!$G$7;2);PANGKAT(Normalisasi!$P$12-Konvergensi!$H$7;2)))</f>
        <v/>
      </c>
      <c r="F21">
        <f>JIKA(C21&lt;=D21;=JIKA(C21&lt;=E21;0;2);=JIKA(D21&lt;=E21;1;2))</f>
        <v/>
      </c>
      <c r="G21">
        <f>JUMLAH(JIKA(F21=0;JUMLAH(PANGKAT(Normalisasi!$J$12-Konvergensi!$B$64;2);PANGKAT(Normalisasi!$K$12-Konvergensi!$C$64;2);PANGKAT(Normalisasi!$L$12-Konvergensi!$D$64;2);PANGKAT(Normalisasi!$M$12-Konvergensi!$E$64;2);PANGKAT(Normalisasi!$N$12-Konvergensi!$F$64;2);PANGKAT(Normalisasi!$O$12-Konvergensi!$G$64;2);PANGKAT(Normalisasi!$P$12-Konvergensi!$H$64;2));0);JIKA(F21=1;JUMLAH(PANGKAT(Normalisasi!$J$12-Konvergensi!$B$65;2);PANGKAT(Normalisasi!$K$12-Konvergensi!$C$65;2);PANGKAT(Normalisasi!$L$12-Konvergensi!$D$65;2);PANGKAT(Normalisasi!$M$12-Konvergensi!$E$65;2);PANGKAT(Normalisasi!$N$12-Konvergensi!$F$65;2);PANGKAT(Normalisasi!$O$12-Konvergensi!$G$65;2);PANGKAT(Normalisasi!$P$12-Konvergensi!$H$65;2));0);JIKA(F21=2;JUMLAH(PANGKAT(Normalisasi!$J$12-Konvergensi!$B$66;2);PANGKAT(Normalisasi!$K$12-Konvergensi!$C$66;2);PANGKAT(Normalisasi!$L$12-Konvergensi!$D$66;2);PANGKAT(Normalisasi!$M$12-Konvergensi!$E$66;2);PANGKAT(Normalisasi!$N$12-Konvergensi!$F$66;2);PANGKAT(Normalisasi!$O$12-Konvergensi!$G$66;2);PANGKAT(Normalisasi!$P$12-Konvergensi!$H$66;2));0))</f>
        <v/>
      </c>
      <c r="H21" t="n">
        <v>1</v>
      </c>
      <c r="I21" t="n">
        <v>7.371463409871966</v>
      </c>
    </row>
    <row r="22">
      <c r="A22">
        <f>Data_Awal!A13</f>
        <v/>
      </c>
      <c r="B22">
        <f>Data_Awal!B13</f>
        <v/>
      </c>
      <c r="C22">
        <f>AKAR(JUMLAH(PANGKAT(Normalisasi!$J$13-Konvergensi!$B$5;2);PANGKAT(Normalisasi!$K$13-Konvergensi!$C$5;2);PANGKAT(Normalisasi!$L$13-Konvergensi!$D$5;2);PANGKAT(Normalisasi!$M$13-Konvergensi!$E$5;2);PANGKAT(Normalisasi!$N$13-Konvergensi!$F$5;2);PANGKAT(Normalisasi!$O$13-Konvergensi!$G$5;2);PANGKAT(Normalisasi!$P$13-Konvergensi!$H$5;2)))</f>
        <v/>
      </c>
      <c r="D22">
        <f>AKAR(JUMLAH(PANGKAT(Normalisasi!$J$13-Konvergensi!$B$6;2);PANGKAT(Normalisasi!$K$13-Konvergensi!$C$6;2);PANGKAT(Normalisasi!$L$13-Konvergensi!$D$6;2);PANGKAT(Normalisasi!$M$13-Konvergensi!$E$6;2);PANGKAT(Normalisasi!$N$13-Konvergensi!$F$6;2);PANGKAT(Normalisasi!$O$13-Konvergensi!$G$6;2);PANGKAT(Normalisasi!$P$13-Konvergensi!$H$6;2)))</f>
        <v/>
      </c>
      <c r="E22">
        <f>AKAR(JUMLAH(PANGKAT(Normalisasi!$J$13-Konvergensi!$B$7;2);PANGKAT(Normalisasi!$K$13-Konvergensi!$C$7;2);PANGKAT(Normalisasi!$L$13-Konvergensi!$D$7;2);PANGKAT(Normalisasi!$M$13-Konvergensi!$E$7;2);PANGKAT(Normalisasi!$N$13-Konvergensi!$F$7;2);PANGKAT(Normalisasi!$O$13-Konvergensi!$G$7;2);PANGKAT(Normalisasi!$P$13-Konvergensi!$H$7;2)))</f>
        <v/>
      </c>
      <c r="F22">
        <f>JIKA(C22&lt;=D22;=JIKA(C22&lt;=E22;0;2);=JIKA(D22&lt;=E22;1;2))</f>
        <v/>
      </c>
      <c r="G22">
        <f>JUMLAH(JIKA(F22=0;JUMLAH(PANGKAT(Normalisasi!$J$13-Konvergensi!$B$64;2);PANGKAT(Normalisasi!$K$13-Konvergensi!$C$64;2);PANGKAT(Normalisasi!$L$13-Konvergensi!$D$64;2);PANGKAT(Normalisasi!$M$13-Konvergensi!$E$64;2);PANGKAT(Normalisasi!$N$13-Konvergensi!$F$64;2);PANGKAT(Normalisasi!$O$13-Konvergensi!$G$64;2);PANGKAT(Normalisasi!$P$13-Konvergensi!$H$64;2));0);JIKA(F22=1;JUMLAH(PANGKAT(Normalisasi!$J$13-Konvergensi!$B$65;2);PANGKAT(Normalisasi!$K$13-Konvergensi!$C$65;2);PANGKAT(Normalisasi!$L$13-Konvergensi!$D$65;2);PANGKAT(Normalisasi!$M$13-Konvergensi!$E$65;2);PANGKAT(Normalisasi!$N$13-Konvergensi!$F$65;2);PANGKAT(Normalisasi!$O$13-Konvergensi!$G$65;2);PANGKAT(Normalisasi!$P$13-Konvergensi!$H$65;2));0);JIKA(F22=2;JUMLAH(PANGKAT(Normalisasi!$J$13-Konvergensi!$B$66;2);PANGKAT(Normalisasi!$K$13-Konvergensi!$C$66;2);PANGKAT(Normalisasi!$L$13-Konvergensi!$D$66;2);PANGKAT(Normalisasi!$M$13-Konvergensi!$E$66;2);PANGKAT(Normalisasi!$N$13-Konvergensi!$F$66;2);PANGKAT(Normalisasi!$O$13-Konvergensi!$G$66;2);PANGKAT(Normalisasi!$P$13-Konvergensi!$H$66;2));0))</f>
        <v/>
      </c>
      <c r="H22" t="n">
        <v>1</v>
      </c>
      <c r="I22" t="n">
        <v>7.577878980714273</v>
      </c>
    </row>
    <row r="23">
      <c r="A23">
        <f>Data_Awal!A14</f>
        <v/>
      </c>
      <c r="B23">
        <f>Data_Awal!B14</f>
        <v/>
      </c>
      <c r="C23">
        <f>AKAR(JUMLAH(PANGKAT(Normalisasi!$J$14-Konvergensi!$B$5;2);PANGKAT(Normalisasi!$K$14-Konvergensi!$C$5;2);PANGKAT(Normalisasi!$L$14-Konvergensi!$D$5;2);PANGKAT(Normalisasi!$M$14-Konvergensi!$E$5;2);PANGKAT(Normalisasi!$N$14-Konvergensi!$F$5;2);PANGKAT(Normalisasi!$O$14-Konvergensi!$G$5;2);PANGKAT(Normalisasi!$P$14-Konvergensi!$H$5;2)))</f>
        <v/>
      </c>
      <c r="D23">
        <f>AKAR(JUMLAH(PANGKAT(Normalisasi!$J$14-Konvergensi!$B$6;2);PANGKAT(Normalisasi!$K$14-Konvergensi!$C$6;2);PANGKAT(Normalisasi!$L$14-Konvergensi!$D$6;2);PANGKAT(Normalisasi!$M$14-Konvergensi!$E$6;2);PANGKAT(Normalisasi!$N$14-Konvergensi!$F$6;2);PANGKAT(Normalisasi!$O$14-Konvergensi!$G$6;2);PANGKAT(Normalisasi!$P$14-Konvergensi!$H$6;2)))</f>
        <v/>
      </c>
      <c r="E23">
        <f>AKAR(JUMLAH(PANGKAT(Normalisasi!$J$14-Konvergensi!$B$7;2);PANGKAT(Normalisasi!$K$14-Konvergensi!$C$7;2);PANGKAT(Normalisasi!$L$14-Konvergensi!$D$7;2);PANGKAT(Normalisasi!$M$14-Konvergensi!$E$7;2);PANGKAT(Normalisasi!$N$14-Konvergensi!$F$7;2);PANGKAT(Normalisasi!$O$14-Konvergensi!$G$7;2);PANGKAT(Normalisasi!$P$14-Konvergensi!$H$7;2)))</f>
        <v/>
      </c>
      <c r="F23">
        <f>JIKA(C23&lt;=D23;=JIKA(C23&lt;=E23;0;2);=JIKA(D23&lt;=E23;1;2))</f>
        <v/>
      </c>
      <c r="G23">
        <f>JUMLAH(JIKA(F23=0;JUMLAH(PANGKAT(Normalisasi!$J$14-Konvergensi!$B$64;2);PANGKAT(Normalisasi!$K$14-Konvergensi!$C$64;2);PANGKAT(Normalisasi!$L$14-Konvergensi!$D$64;2);PANGKAT(Normalisasi!$M$14-Konvergensi!$E$64;2);PANGKAT(Normalisasi!$N$14-Konvergensi!$F$64;2);PANGKAT(Normalisasi!$O$14-Konvergensi!$G$64;2);PANGKAT(Normalisasi!$P$14-Konvergensi!$H$64;2));0);JIKA(F23=1;JUMLAH(PANGKAT(Normalisasi!$J$14-Konvergensi!$B$65;2);PANGKAT(Normalisasi!$K$14-Konvergensi!$C$65;2);PANGKAT(Normalisasi!$L$14-Konvergensi!$D$65;2);PANGKAT(Normalisasi!$M$14-Konvergensi!$E$65;2);PANGKAT(Normalisasi!$N$14-Konvergensi!$F$65;2);PANGKAT(Normalisasi!$O$14-Konvergensi!$G$65;2);PANGKAT(Normalisasi!$P$14-Konvergensi!$H$65;2));0);JIKA(F23=2;JUMLAH(PANGKAT(Normalisasi!$J$14-Konvergensi!$B$66;2);PANGKAT(Normalisasi!$K$14-Konvergensi!$C$66;2);PANGKAT(Normalisasi!$L$14-Konvergensi!$D$66;2);PANGKAT(Normalisasi!$M$14-Konvergensi!$E$66;2);PANGKAT(Normalisasi!$N$14-Konvergensi!$F$66;2);PANGKAT(Normalisasi!$O$14-Konvergensi!$G$66;2);PANGKAT(Normalisasi!$P$14-Konvergensi!$H$66;2));0))</f>
        <v/>
      </c>
      <c r="H23" t="n">
        <v>2</v>
      </c>
      <c r="I23" t="n">
        <v>3.337726280259844</v>
      </c>
    </row>
    <row r="24">
      <c r="A24">
        <f>Data_Awal!A15</f>
        <v/>
      </c>
      <c r="B24">
        <f>Data_Awal!B15</f>
        <v/>
      </c>
      <c r="C24">
        <f>AKAR(JUMLAH(PANGKAT(Normalisasi!$J$15-Konvergensi!$B$5;2);PANGKAT(Normalisasi!$K$15-Konvergensi!$C$5;2);PANGKAT(Normalisasi!$L$15-Konvergensi!$D$5;2);PANGKAT(Normalisasi!$M$15-Konvergensi!$E$5;2);PANGKAT(Normalisasi!$N$15-Konvergensi!$F$5;2);PANGKAT(Normalisasi!$O$15-Konvergensi!$G$5;2);PANGKAT(Normalisasi!$P$15-Konvergensi!$H$5;2)))</f>
        <v/>
      </c>
      <c r="D24">
        <f>AKAR(JUMLAH(PANGKAT(Normalisasi!$J$15-Konvergensi!$B$6;2);PANGKAT(Normalisasi!$K$15-Konvergensi!$C$6;2);PANGKAT(Normalisasi!$L$15-Konvergensi!$D$6;2);PANGKAT(Normalisasi!$M$15-Konvergensi!$E$6;2);PANGKAT(Normalisasi!$N$15-Konvergensi!$F$6;2);PANGKAT(Normalisasi!$O$15-Konvergensi!$G$6;2);PANGKAT(Normalisasi!$P$15-Konvergensi!$H$6;2)))</f>
        <v/>
      </c>
      <c r="E24">
        <f>AKAR(JUMLAH(PANGKAT(Normalisasi!$J$15-Konvergensi!$B$7;2);PANGKAT(Normalisasi!$K$15-Konvergensi!$C$7;2);PANGKAT(Normalisasi!$L$15-Konvergensi!$D$7;2);PANGKAT(Normalisasi!$M$15-Konvergensi!$E$7;2);PANGKAT(Normalisasi!$N$15-Konvergensi!$F$7;2);PANGKAT(Normalisasi!$O$15-Konvergensi!$G$7;2);PANGKAT(Normalisasi!$P$15-Konvergensi!$H$7;2)))</f>
        <v/>
      </c>
      <c r="F24">
        <f>JIKA(C24&lt;=D24;=JIKA(C24&lt;=E24;0;2);=JIKA(D24&lt;=E24;1;2))</f>
        <v/>
      </c>
      <c r="G24">
        <f>JUMLAH(JIKA(F24=0;JUMLAH(PANGKAT(Normalisasi!$J$15-Konvergensi!$B$64;2);PANGKAT(Normalisasi!$K$15-Konvergensi!$C$64;2);PANGKAT(Normalisasi!$L$15-Konvergensi!$D$64;2);PANGKAT(Normalisasi!$M$15-Konvergensi!$E$64;2);PANGKAT(Normalisasi!$N$15-Konvergensi!$F$64;2);PANGKAT(Normalisasi!$O$15-Konvergensi!$G$64;2);PANGKAT(Normalisasi!$P$15-Konvergensi!$H$64;2));0);JIKA(F24=1;JUMLAH(PANGKAT(Normalisasi!$J$15-Konvergensi!$B$65;2);PANGKAT(Normalisasi!$K$15-Konvergensi!$C$65;2);PANGKAT(Normalisasi!$L$15-Konvergensi!$D$65;2);PANGKAT(Normalisasi!$M$15-Konvergensi!$E$65;2);PANGKAT(Normalisasi!$N$15-Konvergensi!$F$65;2);PANGKAT(Normalisasi!$O$15-Konvergensi!$G$65;2);PANGKAT(Normalisasi!$P$15-Konvergensi!$H$65;2));0);JIKA(F24=2;JUMLAH(PANGKAT(Normalisasi!$J$15-Konvergensi!$B$66;2);PANGKAT(Normalisasi!$K$15-Konvergensi!$C$66;2);PANGKAT(Normalisasi!$L$15-Konvergensi!$D$66;2);PANGKAT(Normalisasi!$M$15-Konvergensi!$E$66;2);PANGKAT(Normalisasi!$N$15-Konvergensi!$F$66;2);PANGKAT(Normalisasi!$O$15-Konvergensi!$G$66;2);PANGKAT(Normalisasi!$P$15-Konvergensi!$H$66;2));0))</f>
        <v/>
      </c>
      <c r="H24" t="n">
        <v>0</v>
      </c>
      <c r="I24" t="n">
        <v>4.61263761327281</v>
      </c>
    </row>
    <row r="25">
      <c r="A25">
        <f>Data_Awal!A16</f>
        <v/>
      </c>
      <c r="B25">
        <f>Data_Awal!B16</f>
        <v/>
      </c>
      <c r="C25">
        <f>AKAR(JUMLAH(PANGKAT(Normalisasi!$J$16-Konvergensi!$B$5;2);PANGKAT(Normalisasi!$K$16-Konvergensi!$C$5;2);PANGKAT(Normalisasi!$L$16-Konvergensi!$D$5;2);PANGKAT(Normalisasi!$M$16-Konvergensi!$E$5;2);PANGKAT(Normalisasi!$N$16-Konvergensi!$F$5;2);PANGKAT(Normalisasi!$O$16-Konvergensi!$G$5;2);PANGKAT(Normalisasi!$P$16-Konvergensi!$H$5;2)))</f>
        <v/>
      </c>
      <c r="D25">
        <f>AKAR(JUMLAH(PANGKAT(Normalisasi!$J$16-Konvergensi!$B$6;2);PANGKAT(Normalisasi!$K$16-Konvergensi!$C$6;2);PANGKAT(Normalisasi!$L$16-Konvergensi!$D$6;2);PANGKAT(Normalisasi!$M$16-Konvergensi!$E$6;2);PANGKAT(Normalisasi!$N$16-Konvergensi!$F$6;2);PANGKAT(Normalisasi!$O$16-Konvergensi!$G$6;2);PANGKAT(Normalisasi!$P$16-Konvergensi!$H$6;2)))</f>
        <v/>
      </c>
      <c r="E25">
        <f>AKAR(JUMLAH(PANGKAT(Normalisasi!$J$16-Konvergensi!$B$7;2);PANGKAT(Normalisasi!$K$16-Konvergensi!$C$7;2);PANGKAT(Normalisasi!$L$16-Konvergensi!$D$7;2);PANGKAT(Normalisasi!$M$16-Konvergensi!$E$7;2);PANGKAT(Normalisasi!$N$16-Konvergensi!$F$7;2);PANGKAT(Normalisasi!$O$16-Konvergensi!$G$7;2);PANGKAT(Normalisasi!$P$16-Konvergensi!$H$7;2)))</f>
        <v/>
      </c>
      <c r="F25">
        <f>JIKA(C25&lt;=D25;=JIKA(C25&lt;=E25;0;2);=JIKA(D25&lt;=E25;1;2))</f>
        <v/>
      </c>
      <c r="G25">
        <f>JUMLAH(JIKA(F25=0;JUMLAH(PANGKAT(Normalisasi!$J$16-Konvergensi!$B$64;2);PANGKAT(Normalisasi!$K$16-Konvergensi!$C$64;2);PANGKAT(Normalisasi!$L$16-Konvergensi!$D$64;2);PANGKAT(Normalisasi!$M$16-Konvergensi!$E$64;2);PANGKAT(Normalisasi!$N$16-Konvergensi!$F$64;2);PANGKAT(Normalisasi!$O$16-Konvergensi!$G$64;2);PANGKAT(Normalisasi!$P$16-Konvergensi!$H$64;2));0);JIKA(F25=1;JUMLAH(PANGKAT(Normalisasi!$J$16-Konvergensi!$B$65;2);PANGKAT(Normalisasi!$K$16-Konvergensi!$C$65;2);PANGKAT(Normalisasi!$L$16-Konvergensi!$D$65;2);PANGKAT(Normalisasi!$M$16-Konvergensi!$E$65;2);PANGKAT(Normalisasi!$N$16-Konvergensi!$F$65;2);PANGKAT(Normalisasi!$O$16-Konvergensi!$G$65;2);PANGKAT(Normalisasi!$P$16-Konvergensi!$H$65;2));0);JIKA(F25=2;JUMLAH(PANGKAT(Normalisasi!$J$16-Konvergensi!$B$66;2);PANGKAT(Normalisasi!$K$16-Konvergensi!$C$66;2);PANGKAT(Normalisasi!$L$16-Konvergensi!$D$66;2);PANGKAT(Normalisasi!$M$16-Konvergensi!$E$66;2);PANGKAT(Normalisasi!$N$16-Konvergensi!$F$66;2);PANGKAT(Normalisasi!$O$16-Konvergensi!$G$66;2);PANGKAT(Normalisasi!$P$16-Konvergensi!$H$66;2));0))</f>
        <v/>
      </c>
      <c r="H25" t="n">
        <v>1</v>
      </c>
      <c r="I25" t="n">
        <v>8.463184906499716</v>
      </c>
    </row>
    <row r="26">
      <c r="A26">
        <f>Data_Awal!A17</f>
        <v/>
      </c>
      <c r="B26">
        <f>Data_Awal!B17</f>
        <v/>
      </c>
      <c r="C26">
        <f>AKAR(JUMLAH(PANGKAT(Normalisasi!$J$17-Konvergensi!$B$5;2);PANGKAT(Normalisasi!$K$17-Konvergensi!$C$5;2);PANGKAT(Normalisasi!$L$17-Konvergensi!$D$5;2);PANGKAT(Normalisasi!$M$17-Konvergensi!$E$5;2);PANGKAT(Normalisasi!$N$17-Konvergensi!$F$5;2);PANGKAT(Normalisasi!$O$17-Konvergensi!$G$5;2);PANGKAT(Normalisasi!$P$17-Konvergensi!$H$5;2)))</f>
        <v/>
      </c>
      <c r="D26">
        <f>AKAR(JUMLAH(PANGKAT(Normalisasi!$J$17-Konvergensi!$B$6;2);PANGKAT(Normalisasi!$K$17-Konvergensi!$C$6;2);PANGKAT(Normalisasi!$L$17-Konvergensi!$D$6;2);PANGKAT(Normalisasi!$M$17-Konvergensi!$E$6;2);PANGKAT(Normalisasi!$N$17-Konvergensi!$F$6;2);PANGKAT(Normalisasi!$O$17-Konvergensi!$G$6;2);PANGKAT(Normalisasi!$P$17-Konvergensi!$H$6;2)))</f>
        <v/>
      </c>
      <c r="E26">
        <f>AKAR(JUMLAH(PANGKAT(Normalisasi!$J$17-Konvergensi!$B$7;2);PANGKAT(Normalisasi!$K$17-Konvergensi!$C$7;2);PANGKAT(Normalisasi!$L$17-Konvergensi!$D$7;2);PANGKAT(Normalisasi!$M$17-Konvergensi!$E$7;2);PANGKAT(Normalisasi!$N$17-Konvergensi!$F$7;2);PANGKAT(Normalisasi!$O$17-Konvergensi!$G$7;2);PANGKAT(Normalisasi!$P$17-Konvergensi!$H$7;2)))</f>
        <v/>
      </c>
      <c r="F26">
        <f>JIKA(C26&lt;=D26;=JIKA(C26&lt;=E26;0;2);=JIKA(D26&lt;=E26;1;2))</f>
        <v/>
      </c>
      <c r="G26">
        <f>JUMLAH(JIKA(F26=0;JUMLAH(PANGKAT(Normalisasi!$J$17-Konvergensi!$B$64;2);PANGKAT(Normalisasi!$K$17-Konvergensi!$C$64;2);PANGKAT(Normalisasi!$L$17-Konvergensi!$D$64;2);PANGKAT(Normalisasi!$M$17-Konvergensi!$E$64;2);PANGKAT(Normalisasi!$N$17-Konvergensi!$F$64;2);PANGKAT(Normalisasi!$O$17-Konvergensi!$G$64;2);PANGKAT(Normalisasi!$P$17-Konvergensi!$H$64;2));0);JIKA(F26=1;JUMLAH(PANGKAT(Normalisasi!$J$17-Konvergensi!$B$65;2);PANGKAT(Normalisasi!$K$17-Konvergensi!$C$65;2);PANGKAT(Normalisasi!$L$17-Konvergensi!$D$65;2);PANGKAT(Normalisasi!$M$17-Konvergensi!$E$65;2);PANGKAT(Normalisasi!$N$17-Konvergensi!$F$65;2);PANGKAT(Normalisasi!$O$17-Konvergensi!$G$65;2);PANGKAT(Normalisasi!$P$17-Konvergensi!$H$65;2));0);JIKA(F26=2;JUMLAH(PANGKAT(Normalisasi!$J$17-Konvergensi!$B$66;2);PANGKAT(Normalisasi!$K$17-Konvergensi!$C$66;2);PANGKAT(Normalisasi!$L$17-Konvergensi!$D$66;2);PANGKAT(Normalisasi!$M$17-Konvergensi!$E$66;2);PANGKAT(Normalisasi!$N$17-Konvergensi!$F$66;2);PANGKAT(Normalisasi!$O$17-Konvergensi!$G$66;2);PANGKAT(Normalisasi!$P$17-Konvergensi!$H$66;2));0))</f>
        <v/>
      </c>
      <c r="H26" t="n">
        <v>1</v>
      </c>
      <c r="I26" t="n">
        <v>3.039156199065907</v>
      </c>
    </row>
    <row r="27">
      <c r="A27">
        <f>Data_Awal!A18</f>
        <v/>
      </c>
      <c r="B27">
        <f>Data_Awal!B18</f>
        <v/>
      </c>
      <c r="C27">
        <f>AKAR(JUMLAH(PANGKAT(Normalisasi!$J$18-Konvergensi!$B$5;2);PANGKAT(Normalisasi!$K$18-Konvergensi!$C$5;2);PANGKAT(Normalisasi!$L$18-Konvergensi!$D$5;2);PANGKAT(Normalisasi!$M$18-Konvergensi!$E$5;2);PANGKAT(Normalisasi!$N$18-Konvergensi!$F$5;2);PANGKAT(Normalisasi!$O$18-Konvergensi!$G$5;2);PANGKAT(Normalisasi!$P$18-Konvergensi!$H$5;2)))</f>
        <v/>
      </c>
      <c r="D27">
        <f>AKAR(JUMLAH(PANGKAT(Normalisasi!$J$18-Konvergensi!$B$6;2);PANGKAT(Normalisasi!$K$18-Konvergensi!$C$6;2);PANGKAT(Normalisasi!$L$18-Konvergensi!$D$6;2);PANGKAT(Normalisasi!$M$18-Konvergensi!$E$6;2);PANGKAT(Normalisasi!$N$18-Konvergensi!$F$6;2);PANGKAT(Normalisasi!$O$18-Konvergensi!$G$6;2);PANGKAT(Normalisasi!$P$18-Konvergensi!$H$6;2)))</f>
        <v/>
      </c>
      <c r="E27">
        <f>AKAR(JUMLAH(PANGKAT(Normalisasi!$J$18-Konvergensi!$B$7;2);PANGKAT(Normalisasi!$K$18-Konvergensi!$C$7;2);PANGKAT(Normalisasi!$L$18-Konvergensi!$D$7;2);PANGKAT(Normalisasi!$M$18-Konvergensi!$E$7;2);PANGKAT(Normalisasi!$N$18-Konvergensi!$F$7;2);PANGKAT(Normalisasi!$O$18-Konvergensi!$G$7;2);PANGKAT(Normalisasi!$P$18-Konvergensi!$H$7;2)))</f>
        <v/>
      </c>
      <c r="F27">
        <f>JIKA(C27&lt;=D27;=JIKA(C27&lt;=E27;0;2);=JIKA(D27&lt;=E27;1;2))</f>
        <v/>
      </c>
      <c r="G27">
        <f>JUMLAH(JIKA(F27=0;JUMLAH(PANGKAT(Normalisasi!$J$18-Konvergensi!$B$64;2);PANGKAT(Normalisasi!$K$18-Konvergensi!$C$64;2);PANGKAT(Normalisasi!$L$18-Konvergensi!$D$64;2);PANGKAT(Normalisasi!$M$18-Konvergensi!$E$64;2);PANGKAT(Normalisasi!$N$18-Konvergensi!$F$64;2);PANGKAT(Normalisasi!$O$18-Konvergensi!$G$64;2);PANGKAT(Normalisasi!$P$18-Konvergensi!$H$64;2));0);JIKA(F27=1;JUMLAH(PANGKAT(Normalisasi!$J$18-Konvergensi!$B$65;2);PANGKAT(Normalisasi!$K$18-Konvergensi!$C$65;2);PANGKAT(Normalisasi!$L$18-Konvergensi!$D$65;2);PANGKAT(Normalisasi!$M$18-Konvergensi!$E$65;2);PANGKAT(Normalisasi!$N$18-Konvergensi!$F$65;2);PANGKAT(Normalisasi!$O$18-Konvergensi!$G$65;2);PANGKAT(Normalisasi!$P$18-Konvergensi!$H$65;2));0);JIKA(F27=2;JUMLAH(PANGKAT(Normalisasi!$J$18-Konvergensi!$B$66;2);PANGKAT(Normalisasi!$K$18-Konvergensi!$C$66;2);PANGKAT(Normalisasi!$L$18-Konvergensi!$D$66;2);PANGKAT(Normalisasi!$M$18-Konvergensi!$E$66;2);PANGKAT(Normalisasi!$N$18-Konvergensi!$F$66;2);PANGKAT(Normalisasi!$O$18-Konvergensi!$G$66;2);PANGKAT(Normalisasi!$P$18-Konvergensi!$H$66;2));0))</f>
        <v/>
      </c>
      <c r="H27" t="n">
        <v>0</v>
      </c>
      <c r="I27" t="n">
        <v>6.529442856097022</v>
      </c>
    </row>
    <row r="28">
      <c r="A28">
        <f>Data_Awal!A19</f>
        <v/>
      </c>
      <c r="B28">
        <f>Data_Awal!B19</f>
        <v/>
      </c>
      <c r="C28">
        <f>AKAR(JUMLAH(PANGKAT(Normalisasi!$J$19-Konvergensi!$B$5;2);PANGKAT(Normalisasi!$K$19-Konvergensi!$C$5;2);PANGKAT(Normalisasi!$L$19-Konvergensi!$D$5;2);PANGKAT(Normalisasi!$M$19-Konvergensi!$E$5;2);PANGKAT(Normalisasi!$N$19-Konvergensi!$F$5;2);PANGKAT(Normalisasi!$O$19-Konvergensi!$G$5;2);PANGKAT(Normalisasi!$P$19-Konvergensi!$H$5;2)))</f>
        <v/>
      </c>
      <c r="D28">
        <f>AKAR(JUMLAH(PANGKAT(Normalisasi!$J$19-Konvergensi!$B$6;2);PANGKAT(Normalisasi!$K$19-Konvergensi!$C$6;2);PANGKAT(Normalisasi!$L$19-Konvergensi!$D$6;2);PANGKAT(Normalisasi!$M$19-Konvergensi!$E$6;2);PANGKAT(Normalisasi!$N$19-Konvergensi!$F$6;2);PANGKAT(Normalisasi!$O$19-Konvergensi!$G$6;2);PANGKAT(Normalisasi!$P$19-Konvergensi!$H$6;2)))</f>
        <v/>
      </c>
      <c r="E28">
        <f>AKAR(JUMLAH(PANGKAT(Normalisasi!$J$19-Konvergensi!$B$7;2);PANGKAT(Normalisasi!$K$19-Konvergensi!$C$7;2);PANGKAT(Normalisasi!$L$19-Konvergensi!$D$7;2);PANGKAT(Normalisasi!$M$19-Konvergensi!$E$7;2);PANGKAT(Normalisasi!$N$19-Konvergensi!$F$7;2);PANGKAT(Normalisasi!$O$19-Konvergensi!$G$7;2);PANGKAT(Normalisasi!$P$19-Konvergensi!$H$7;2)))</f>
        <v/>
      </c>
      <c r="F28">
        <f>JIKA(C28&lt;=D28;=JIKA(C28&lt;=E28;0;2);=JIKA(D28&lt;=E28;1;2))</f>
        <v/>
      </c>
      <c r="G28">
        <f>JUMLAH(JIKA(F28=0;JUMLAH(PANGKAT(Normalisasi!$J$19-Konvergensi!$B$64;2);PANGKAT(Normalisasi!$K$19-Konvergensi!$C$64;2);PANGKAT(Normalisasi!$L$19-Konvergensi!$D$64;2);PANGKAT(Normalisasi!$M$19-Konvergensi!$E$64;2);PANGKAT(Normalisasi!$N$19-Konvergensi!$F$64;2);PANGKAT(Normalisasi!$O$19-Konvergensi!$G$64;2);PANGKAT(Normalisasi!$P$19-Konvergensi!$H$64;2));0);JIKA(F28=1;JUMLAH(PANGKAT(Normalisasi!$J$19-Konvergensi!$B$65;2);PANGKAT(Normalisasi!$K$19-Konvergensi!$C$65;2);PANGKAT(Normalisasi!$L$19-Konvergensi!$D$65;2);PANGKAT(Normalisasi!$M$19-Konvergensi!$E$65;2);PANGKAT(Normalisasi!$N$19-Konvergensi!$F$65;2);PANGKAT(Normalisasi!$O$19-Konvergensi!$G$65;2);PANGKAT(Normalisasi!$P$19-Konvergensi!$H$65;2));0);JIKA(F28=2;JUMLAH(PANGKAT(Normalisasi!$J$19-Konvergensi!$B$66;2);PANGKAT(Normalisasi!$K$19-Konvergensi!$C$66;2);PANGKAT(Normalisasi!$L$19-Konvergensi!$D$66;2);PANGKAT(Normalisasi!$M$19-Konvergensi!$E$66;2);PANGKAT(Normalisasi!$N$19-Konvergensi!$F$66;2);PANGKAT(Normalisasi!$O$19-Konvergensi!$G$66;2);PANGKAT(Normalisasi!$P$19-Konvergensi!$H$66;2));0))</f>
        <v/>
      </c>
      <c r="H28" t="n">
        <v>0</v>
      </c>
      <c r="I28" t="n">
        <v>3.137632314522993</v>
      </c>
    </row>
    <row r="29">
      <c r="A29">
        <f>Data_Awal!A20</f>
        <v/>
      </c>
      <c r="B29">
        <f>Data_Awal!B20</f>
        <v/>
      </c>
      <c r="C29">
        <f>AKAR(JUMLAH(PANGKAT(Normalisasi!$J$20-Konvergensi!$B$5;2);PANGKAT(Normalisasi!$K$20-Konvergensi!$C$5;2);PANGKAT(Normalisasi!$L$20-Konvergensi!$D$5;2);PANGKAT(Normalisasi!$M$20-Konvergensi!$E$5;2);PANGKAT(Normalisasi!$N$20-Konvergensi!$F$5;2);PANGKAT(Normalisasi!$O$20-Konvergensi!$G$5;2);PANGKAT(Normalisasi!$P$20-Konvergensi!$H$5;2)))</f>
        <v/>
      </c>
      <c r="D29">
        <f>AKAR(JUMLAH(PANGKAT(Normalisasi!$J$20-Konvergensi!$B$6;2);PANGKAT(Normalisasi!$K$20-Konvergensi!$C$6;2);PANGKAT(Normalisasi!$L$20-Konvergensi!$D$6;2);PANGKAT(Normalisasi!$M$20-Konvergensi!$E$6;2);PANGKAT(Normalisasi!$N$20-Konvergensi!$F$6;2);PANGKAT(Normalisasi!$O$20-Konvergensi!$G$6;2);PANGKAT(Normalisasi!$P$20-Konvergensi!$H$6;2)))</f>
        <v/>
      </c>
      <c r="E29">
        <f>AKAR(JUMLAH(PANGKAT(Normalisasi!$J$20-Konvergensi!$B$7;2);PANGKAT(Normalisasi!$K$20-Konvergensi!$C$7;2);PANGKAT(Normalisasi!$L$20-Konvergensi!$D$7;2);PANGKAT(Normalisasi!$M$20-Konvergensi!$E$7;2);PANGKAT(Normalisasi!$N$20-Konvergensi!$F$7;2);PANGKAT(Normalisasi!$O$20-Konvergensi!$G$7;2);PANGKAT(Normalisasi!$P$20-Konvergensi!$H$7;2)))</f>
        <v/>
      </c>
      <c r="F29">
        <f>JIKA(C29&lt;=D29;=JIKA(C29&lt;=E29;0;2);=JIKA(D29&lt;=E29;1;2))</f>
        <v/>
      </c>
      <c r="G29">
        <f>JUMLAH(JIKA(F29=0;JUMLAH(PANGKAT(Normalisasi!$J$20-Konvergensi!$B$64;2);PANGKAT(Normalisasi!$K$20-Konvergensi!$C$64;2);PANGKAT(Normalisasi!$L$20-Konvergensi!$D$64;2);PANGKAT(Normalisasi!$M$20-Konvergensi!$E$64;2);PANGKAT(Normalisasi!$N$20-Konvergensi!$F$64;2);PANGKAT(Normalisasi!$O$20-Konvergensi!$G$64;2);PANGKAT(Normalisasi!$P$20-Konvergensi!$H$64;2));0);JIKA(F29=1;JUMLAH(PANGKAT(Normalisasi!$J$20-Konvergensi!$B$65;2);PANGKAT(Normalisasi!$K$20-Konvergensi!$C$65;2);PANGKAT(Normalisasi!$L$20-Konvergensi!$D$65;2);PANGKAT(Normalisasi!$M$20-Konvergensi!$E$65;2);PANGKAT(Normalisasi!$N$20-Konvergensi!$F$65;2);PANGKAT(Normalisasi!$O$20-Konvergensi!$G$65;2);PANGKAT(Normalisasi!$P$20-Konvergensi!$H$65;2));0);JIKA(F29=2;JUMLAH(PANGKAT(Normalisasi!$J$20-Konvergensi!$B$66;2);PANGKAT(Normalisasi!$K$20-Konvergensi!$C$66;2);PANGKAT(Normalisasi!$L$20-Konvergensi!$D$66;2);PANGKAT(Normalisasi!$M$20-Konvergensi!$E$66;2);PANGKAT(Normalisasi!$N$20-Konvergensi!$F$66;2);PANGKAT(Normalisasi!$O$20-Konvergensi!$G$66;2);PANGKAT(Normalisasi!$P$20-Konvergensi!$H$66;2));0))</f>
        <v/>
      </c>
      <c r="H29" t="n">
        <v>0</v>
      </c>
      <c r="I29" t="n">
        <v>6.268972177914569</v>
      </c>
    </row>
    <row r="30">
      <c r="A30">
        <f>Data_Awal!A21</f>
        <v/>
      </c>
      <c r="B30">
        <f>Data_Awal!B21</f>
        <v/>
      </c>
      <c r="C30">
        <f>AKAR(JUMLAH(PANGKAT(Normalisasi!$J$21-Konvergensi!$B$5;2);PANGKAT(Normalisasi!$K$21-Konvergensi!$C$5;2);PANGKAT(Normalisasi!$L$21-Konvergensi!$D$5;2);PANGKAT(Normalisasi!$M$21-Konvergensi!$E$5;2);PANGKAT(Normalisasi!$N$21-Konvergensi!$F$5;2);PANGKAT(Normalisasi!$O$21-Konvergensi!$G$5;2);PANGKAT(Normalisasi!$P$21-Konvergensi!$H$5;2)))</f>
        <v/>
      </c>
      <c r="D30">
        <f>AKAR(JUMLAH(PANGKAT(Normalisasi!$J$21-Konvergensi!$B$6;2);PANGKAT(Normalisasi!$K$21-Konvergensi!$C$6;2);PANGKAT(Normalisasi!$L$21-Konvergensi!$D$6;2);PANGKAT(Normalisasi!$M$21-Konvergensi!$E$6;2);PANGKAT(Normalisasi!$N$21-Konvergensi!$F$6;2);PANGKAT(Normalisasi!$O$21-Konvergensi!$G$6;2);PANGKAT(Normalisasi!$P$21-Konvergensi!$H$6;2)))</f>
        <v/>
      </c>
      <c r="E30">
        <f>AKAR(JUMLAH(PANGKAT(Normalisasi!$J$21-Konvergensi!$B$7;2);PANGKAT(Normalisasi!$K$21-Konvergensi!$C$7;2);PANGKAT(Normalisasi!$L$21-Konvergensi!$D$7;2);PANGKAT(Normalisasi!$M$21-Konvergensi!$E$7;2);PANGKAT(Normalisasi!$N$21-Konvergensi!$F$7;2);PANGKAT(Normalisasi!$O$21-Konvergensi!$G$7;2);PANGKAT(Normalisasi!$P$21-Konvergensi!$H$7;2)))</f>
        <v/>
      </c>
      <c r="F30">
        <f>JIKA(C30&lt;=D30;=JIKA(C30&lt;=E30;0;2);=JIKA(D30&lt;=E30;1;2))</f>
        <v/>
      </c>
      <c r="G30">
        <f>JUMLAH(JIKA(F30=0;JUMLAH(PANGKAT(Normalisasi!$J$21-Konvergensi!$B$64;2);PANGKAT(Normalisasi!$K$21-Konvergensi!$C$64;2);PANGKAT(Normalisasi!$L$21-Konvergensi!$D$64;2);PANGKAT(Normalisasi!$M$21-Konvergensi!$E$64;2);PANGKAT(Normalisasi!$N$21-Konvergensi!$F$64;2);PANGKAT(Normalisasi!$O$21-Konvergensi!$G$64;2);PANGKAT(Normalisasi!$P$21-Konvergensi!$H$64;2));0);JIKA(F30=1;JUMLAH(PANGKAT(Normalisasi!$J$21-Konvergensi!$B$65;2);PANGKAT(Normalisasi!$K$21-Konvergensi!$C$65;2);PANGKAT(Normalisasi!$L$21-Konvergensi!$D$65;2);PANGKAT(Normalisasi!$M$21-Konvergensi!$E$65;2);PANGKAT(Normalisasi!$N$21-Konvergensi!$F$65;2);PANGKAT(Normalisasi!$O$21-Konvergensi!$G$65;2);PANGKAT(Normalisasi!$P$21-Konvergensi!$H$65;2));0);JIKA(F30=2;JUMLAH(PANGKAT(Normalisasi!$J$21-Konvergensi!$B$66;2);PANGKAT(Normalisasi!$K$21-Konvergensi!$C$66;2);PANGKAT(Normalisasi!$L$21-Konvergensi!$D$66;2);PANGKAT(Normalisasi!$M$21-Konvergensi!$E$66;2);PANGKAT(Normalisasi!$N$21-Konvergensi!$F$66;2);PANGKAT(Normalisasi!$O$21-Konvergensi!$G$66;2);PANGKAT(Normalisasi!$P$21-Konvergensi!$H$66;2));0))</f>
        <v/>
      </c>
      <c r="H30" t="n">
        <v>2</v>
      </c>
      <c r="I30" t="n">
        <v>6.609830024171945</v>
      </c>
    </row>
    <row r="31">
      <c r="A31">
        <f>Data_Awal!A22</f>
        <v/>
      </c>
      <c r="B31">
        <f>Data_Awal!B22</f>
        <v/>
      </c>
      <c r="C31">
        <f>AKAR(JUMLAH(PANGKAT(Normalisasi!$J$22-Konvergensi!$B$5;2);PANGKAT(Normalisasi!$K$22-Konvergensi!$C$5;2);PANGKAT(Normalisasi!$L$22-Konvergensi!$D$5;2);PANGKAT(Normalisasi!$M$22-Konvergensi!$E$5;2);PANGKAT(Normalisasi!$N$22-Konvergensi!$F$5;2);PANGKAT(Normalisasi!$O$22-Konvergensi!$G$5;2);PANGKAT(Normalisasi!$P$22-Konvergensi!$H$5;2)))</f>
        <v/>
      </c>
      <c r="D31">
        <f>AKAR(JUMLAH(PANGKAT(Normalisasi!$J$22-Konvergensi!$B$6;2);PANGKAT(Normalisasi!$K$22-Konvergensi!$C$6;2);PANGKAT(Normalisasi!$L$22-Konvergensi!$D$6;2);PANGKAT(Normalisasi!$M$22-Konvergensi!$E$6;2);PANGKAT(Normalisasi!$N$22-Konvergensi!$F$6;2);PANGKAT(Normalisasi!$O$22-Konvergensi!$G$6;2);PANGKAT(Normalisasi!$P$22-Konvergensi!$H$6;2)))</f>
        <v/>
      </c>
      <c r="E31">
        <f>AKAR(JUMLAH(PANGKAT(Normalisasi!$J$22-Konvergensi!$B$7;2);PANGKAT(Normalisasi!$K$22-Konvergensi!$C$7;2);PANGKAT(Normalisasi!$L$22-Konvergensi!$D$7;2);PANGKAT(Normalisasi!$M$22-Konvergensi!$E$7;2);PANGKAT(Normalisasi!$N$22-Konvergensi!$F$7;2);PANGKAT(Normalisasi!$O$22-Konvergensi!$G$7;2);PANGKAT(Normalisasi!$P$22-Konvergensi!$H$7;2)))</f>
        <v/>
      </c>
      <c r="F31">
        <f>JIKA(C31&lt;=D31;=JIKA(C31&lt;=E31;0;2);=JIKA(D31&lt;=E31;1;2))</f>
        <v/>
      </c>
      <c r="G31">
        <f>JUMLAH(JIKA(F31=0;JUMLAH(PANGKAT(Normalisasi!$J$22-Konvergensi!$B$64;2);PANGKAT(Normalisasi!$K$22-Konvergensi!$C$64;2);PANGKAT(Normalisasi!$L$22-Konvergensi!$D$64;2);PANGKAT(Normalisasi!$M$22-Konvergensi!$E$64;2);PANGKAT(Normalisasi!$N$22-Konvergensi!$F$64;2);PANGKAT(Normalisasi!$O$22-Konvergensi!$G$64;2);PANGKAT(Normalisasi!$P$22-Konvergensi!$H$64;2));0);JIKA(F31=1;JUMLAH(PANGKAT(Normalisasi!$J$22-Konvergensi!$B$65;2);PANGKAT(Normalisasi!$K$22-Konvergensi!$C$65;2);PANGKAT(Normalisasi!$L$22-Konvergensi!$D$65;2);PANGKAT(Normalisasi!$M$22-Konvergensi!$E$65;2);PANGKAT(Normalisasi!$N$22-Konvergensi!$F$65;2);PANGKAT(Normalisasi!$O$22-Konvergensi!$G$65;2);PANGKAT(Normalisasi!$P$22-Konvergensi!$H$65;2));0);JIKA(F31=2;JUMLAH(PANGKAT(Normalisasi!$J$22-Konvergensi!$B$66;2);PANGKAT(Normalisasi!$K$22-Konvergensi!$C$66;2);PANGKAT(Normalisasi!$L$22-Konvergensi!$D$66;2);PANGKAT(Normalisasi!$M$22-Konvergensi!$E$66;2);PANGKAT(Normalisasi!$N$22-Konvergensi!$F$66;2);PANGKAT(Normalisasi!$O$22-Konvergensi!$G$66;2);PANGKAT(Normalisasi!$P$22-Konvergensi!$H$66;2));0))</f>
        <v/>
      </c>
      <c r="H31" t="n">
        <v>0</v>
      </c>
      <c r="I31" t="n">
        <v>7.179015425399255</v>
      </c>
    </row>
    <row r="32">
      <c r="A32">
        <f>Data_Awal!A23</f>
        <v/>
      </c>
      <c r="B32">
        <f>Data_Awal!B23</f>
        <v/>
      </c>
      <c r="C32">
        <f>AKAR(JUMLAH(PANGKAT(Normalisasi!$J$23-Konvergensi!$B$5;2);PANGKAT(Normalisasi!$K$23-Konvergensi!$C$5;2);PANGKAT(Normalisasi!$L$23-Konvergensi!$D$5;2);PANGKAT(Normalisasi!$M$23-Konvergensi!$E$5;2);PANGKAT(Normalisasi!$N$23-Konvergensi!$F$5;2);PANGKAT(Normalisasi!$O$23-Konvergensi!$G$5;2);PANGKAT(Normalisasi!$P$23-Konvergensi!$H$5;2)))</f>
        <v/>
      </c>
      <c r="D32">
        <f>AKAR(JUMLAH(PANGKAT(Normalisasi!$J$23-Konvergensi!$B$6;2);PANGKAT(Normalisasi!$K$23-Konvergensi!$C$6;2);PANGKAT(Normalisasi!$L$23-Konvergensi!$D$6;2);PANGKAT(Normalisasi!$M$23-Konvergensi!$E$6;2);PANGKAT(Normalisasi!$N$23-Konvergensi!$F$6;2);PANGKAT(Normalisasi!$O$23-Konvergensi!$G$6;2);PANGKAT(Normalisasi!$P$23-Konvergensi!$H$6;2)))</f>
        <v/>
      </c>
      <c r="E32">
        <f>AKAR(JUMLAH(PANGKAT(Normalisasi!$J$23-Konvergensi!$B$7;2);PANGKAT(Normalisasi!$K$23-Konvergensi!$C$7;2);PANGKAT(Normalisasi!$L$23-Konvergensi!$D$7;2);PANGKAT(Normalisasi!$M$23-Konvergensi!$E$7;2);PANGKAT(Normalisasi!$N$23-Konvergensi!$F$7;2);PANGKAT(Normalisasi!$O$23-Konvergensi!$G$7;2);PANGKAT(Normalisasi!$P$23-Konvergensi!$H$7;2)))</f>
        <v/>
      </c>
      <c r="F32">
        <f>JIKA(C32&lt;=D32;=JIKA(C32&lt;=E32;0;2);=JIKA(D32&lt;=E32;1;2))</f>
        <v/>
      </c>
      <c r="G32">
        <f>JUMLAH(JIKA(F32=0;JUMLAH(PANGKAT(Normalisasi!$J$23-Konvergensi!$B$64;2);PANGKAT(Normalisasi!$K$23-Konvergensi!$C$64;2);PANGKAT(Normalisasi!$L$23-Konvergensi!$D$64;2);PANGKAT(Normalisasi!$M$23-Konvergensi!$E$64;2);PANGKAT(Normalisasi!$N$23-Konvergensi!$F$64;2);PANGKAT(Normalisasi!$O$23-Konvergensi!$G$64;2);PANGKAT(Normalisasi!$P$23-Konvergensi!$H$64;2));0);JIKA(F32=1;JUMLAH(PANGKAT(Normalisasi!$J$23-Konvergensi!$B$65;2);PANGKAT(Normalisasi!$K$23-Konvergensi!$C$65;2);PANGKAT(Normalisasi!$L$23-Konvergensi!$D$65;2);PANGKAT(Normalisasi!$M$23-Konvergensi!$E$65;2);PANGKAT(Normalisasi!$N$23-Konvergensi!$F$65;2);PANGKAT(Normalisasi!$O$23-Konvergensi!$G$65;2);PANGKAT(Normalisasi!$P$23-Konvergensi!$H$65;2));0);JIKA(F32=2;JUMLAH(PANGKAT(Normalisasi!$J$23-Konvergensi!$B$66;2);PANGKAT(Normalisasi!$K$23-Konvergensi!$C$66;2);PANGKAT(Normalisasi!$L$23-Konvergensi!$D$66;2);PANGKAT(Normalisasi!$M$23-Konvergensi!$E$66;2);PANGKAT(Normalisasi!$N$23-Konvergensi!$F$66;2);PANGKAT(Normalisasi!$O$23-Konvergensi!$G$66;2);PANGKAT(Normalisasi!$P$23-Konvergensi!$H$66;2));0))</f>
        <v/>
      </c>
      <c r="H32" t="n">
        <v>1</v>
      </c>
      <c r="I32" t="n">
        <v>5.847118720489509</v>
      </c>
    </row>
    <row r="33">
      <c r="A33">
        <f>Data_Awal!A24</f>
        <v/>
      </c>
      <c r="B33">
        <f>Data_Awal!B24</f>
        <v/>
      </c>
      <c r="C33">
        <f>AKAR(JUMLAH(PANGKAT(Normalisasi!$J$24-Konvergensi!$B$5;2);PANGKAT(Normalisasi!$K$24-Konvergensi!$C$5;2);PANGKAT(Normalisasi!$L$24-Konvergensi!$D$5;2);PANGKAT(Normalisasi!$M$24-Konvergensi!$E$5;2);PANGKAT(Normalisasi!$N$24-Konvergensi!$F$5;2);PANGKAT(Normalisasi!$O$24-Konvergensi!$G$5;2);PANGKAT(Normalisasi!$P$24-Konvergensi!$H$5;2)))</f>
        <v/>
      </c>
      <c r="D33">
        <f>AKAR(JUMLAH(PANGKAT(Normalisasi!$J$24-Konvergensi!$B$6;2);PANGKAT(Normalisasi!$K$24-Konvergensi!$C$6;2);PANGKAT(Normalisasi!$L$24-Konvergensi!$D$6;2);PANGKAT(Normalisasi!$M$24-Konvergensi!$E$6;2);PANGKAT(Normalisasi!$N$24-Konvergensi!$F$6;2);PANGKAT(Normalisasi!$O$24-Konvergensi!$G$6;2);PANGKAT(Normalisasi!$P$24-Konvergensi!$H$6;2)))</f>
        <v/>
      </c>
      <c r="E33">
        <f>AKAR(JUMLAH(PANGKAT(Normalisasi!$J$24-Konvergensi!$B$7;2);PANGKAT(Normalisasi!$K$24-Konvergensi!$C$7;2);PANGKAT(Normalisasi!$L$24-Konvergensi!$D$7;2);PANGKAT(Normalisasi!$M$24-Konvergensi!$E$7;2);PANGKAT(Normalisasi!$N$24-Konvergensi!$F$7;2);PANGKAT(Normalisasi!$O$24-Konvergensi!$G$7;2);PANGKAT(Normalisasi!$P$24-Konvergensi!$H$7;2)))</f>
        <v/>
      </c>
      <c r="F33">
        <f>JIKA(C33&lt;=D33;=JIKA(C33&lt;=E33;0;2);=JIKA(D33&lt;=E33;1;2))</f>
        <v/>
      </c>
      <c r="G33">
        <f>JUMLAH(JIKA(F33=0;JUMLAH(PANGKAT(Normalisasi!$J$24-Konvergensi!$B$64;2);PANGKAT(Normalisasi!$K$24-Konvergensi!$C$64;2);PANGKAT(Normalisasi!$L$24-Konvergensi!$D$64;2);PANGKAT(Normalisasi!$M$24-Konvergensi!$E$64;2);PANGKAT(Normalisasi!$N$24-Konvergensi!$F$64;2);PANGKAT(Normalisasi!$O$24-Konvergensi!$G$64;2);PANGKAT(Normalisasi!$P$24-Konvergensi!$H$64;2));0);JIKA(F33=1;JUMLAH(PANGKAT(Normalisasi!$J$24-Konvergensi!$B$65;2);PANGKAT(Normalisasi!$K$24-Konvergensi!$C$65;2);PANGKAT(Normalisasi!$L$24-Konvergensi!$D$65;2);PANGKAT(Normalisasi!$M$24-Konvergensi!$E$65;2);PANGKAT(Normalisasi!$N$24-Konvergensi!$F$65;2);PANGKAT(Normalisasi!$O$24-Konvergensi!$G$65;2);PANGKAT(Normalisasi!$P$24-Konvergensi!$H$65;2));0);JIKA(F33=2;JUMLAH(PANGKAT(Normalisasi!$J$24-Konvergensi!$B$66;2);PANGKAT(Normalisasi!$K$24-Konvergensi!$C$66;2);PANGKAT(Normalisasi!$L$24-Konvergensi!$D$66;2);PANGKAT(Normalisasi!$M$24-Konvergensi!$E$66;2);PANGKAT(Normalisasi!$N$24-Konvergensi!$F$66;2);PANGKAT(Normalisasi!$O$24-Konvergensi!$G$66;2);PANGKAT(Normalisasi!$P$24-Konvergensi!$H$66;2));0))</f>
        <v/>
      </c>
      <c r="H33" t="n">
        <v>0</v>
      </c>
      <c r="I33" t="n">
        <v>4.978599475288768</v>
      </c>
    </row>
    <row r="34">
      <c r="A34">
        <f>Data_Awal!A25</f>
        <v/>
      </c>
      <c r="B34">
        <f>Data_Awal!B25</f>
        <v/>
      </c>
      <c r="C34">
        <f>AKAR(JUMLAH(PANGKAT(Normalisasi!$J$25-Konvergensi!$B$5;2);PANGKAT(Normalisasi!$K$25-Konvergensi!$C$5;2);PANGKAT(Normalisasi!$L$25-Konvergensi!$D$5;2);PANGKAT(Normalisasi!$M$25-Konvergensi!$E$5;2);PANGKAT(Normalisasi!$N$25-Konvergensi!$F$5;2);PANGKAT(Normalisasi!$O$25-Konvergensi!$G$5;2);PANGKAT(Normalisasi!$P$25-Konvergensi!$H$5;2)))</f>
        <v/>
      </c>
      <c r="D34">
        <f>AKAR(JUMLAH(PANGKAT(Normalisasi!$J$25-Konvergensi!$B$6;2);PANGKAT(Normalisasi!$K$25-Konvergensi!$C$6;2);PANGKAT(Normalisasi!$L$25-Konvergensi!$D$6;2);PANGKAT(Normalisasi!$M$25-Konvergensi!$E$6;2);PANGKAT(Normalisasi!$N$25-Konvergensi!$F$6;2);PANGKAT(Normalisasi!$O$25-Konvergensi!$G$6;2);PANGKAT(Normalisasi!$P$25-Konvergensi!$H$6;2)))</f>
        <v/>
      </c>
      <c r="E34">
        <f>AKAR(JUMLAH(PANGKAT(Normalisasi!$J$25-Konvergensi!$B$7;2);PANGKAT(Normalisasi!$K$25-Konvergensi!$C$7;2);PANGKAT(Normalisasi!$L$25-Konvergensi!$D$7;2);PANGKAT(Normalisasi!$M$25-Konvergensi!$E$7;2);PANGKAT(Normalisasi!$N$25-Konvergensi!$F$7;2);PANGKAT(Normalisasi!$O$25-Konvergensi!$G$7;2);PANGKAT(Normalisasi!$P$25-Konvergensi!$H$7;2)))</f>
        <v/>
      </c>
      <c r="F34">
        <f>JIKA(C34&lt;=D34;=JIKA(C34&lt;=E34;0;2);=JIKA(D34&lt;=E34;1;2))</f>
        <v/>
      </c>
      <c r="G34">
        <f>JUMLAH(JIKA(F34=0;JUMLAH(PANGKAT(Normalisasi!$J$25-Konvergensi!$B$64;2);PANGKAT(Normalisasi!$K$25-Konvergensi!$C$64;2);PANGKAT(Normalisasi!$L$25-Konvergensi!$D$64;2);PANGKAT(Normalisasi!$M$25-Konvergensi!$E$64;2);PANGKAT(Normalisasi!$N$25-Konvergensi!$F$64;2);PANGKAT(Normalisasi!$O$25-Konvergensi!$G$64;2);PANGKAT(Normalisasi!$P$25-Konvergensi!$H$64;2));0);JIKA(F34=1;JUMLAH(PANGKAT(Normalisasi!$J$25-Konvergensi!$B$65;2);PANGKAT(Normalisasi!$K$25-Konvergensi!$C$65;2);PANGKAT(Normalisasi!$L$25-Konvergensi!$D$65;2);PANGKAT(Normalisasi!$M$25-Konvergensi!$E$65;2);PANGKAT(Normalisasi!$N$25-Konvergensi!$F$65;2);PANGKAT(Normalisasi!$O$25-Konvergensi!$G$65;2);PANGKAT(Normalisasi!$P$25-Konvergensi!$H$65;2));0);JIKA(F34=2;JUMLAH(PANGKAT(Normalisasi!$J$25-Konvergensi!$B$66;2);PANGKAT(Normalisasi!$K$25-Konvergensi!$C$66;2);PANGKAT(Normalisasi!$L$25-Konvergensi!$D$66;2);PANGKAT(Normalisasi!$M$25-Konvergensi!$E$66;2);PANGKAT(Normalisasi!$N$25-Konvergensi!$F$66;2);PANGKAT(Normalisasi!$O$25-Konvergensi!$G$66;2);PANGKAT(Normalisasi!$P$25-Konvergensi!$H$66;2));0))</f>
        <v/>
      </c>
      <c r="H34" t="n">
        <v>1</v>
      </c>
      <c r="I34" t="n">
        <v>3.694799848836475</v>
      </c>
    </row>
    <row r="35">
      <c r="A35">
        <f>Data_Awal!A26</f>
        <v/>
      </c>
      <c r="B35">
        <f>Data_Awal!B26</f>
        <v/>
      </c>
      <c r="C35">
        <f>AKAR(JUMLAH(PANGKAT(Normalisasi!$J$26-Konvergensi!$B$5;2);PANGKAT(Normalisasi!$K$26-Konvergensi!$C$5;2);PANGKAT(Normalisasi!$L$26-Konvergensi!$D$5;2);PANGKAT(Normalisasi!$M$26-Konvergensi!$E$5;2);PANGKAT(Normalisasi!$N$26-Konvergensi!$F$5;2);PANGKAT(Normalisasi!$O$26-Konvergensi!$G$5;2);PANGKAT(Normalisasi!$P$26-Konvergensi!$H$5;2)))</f>
        <v/>
      </c>
      <c r="D35">
        <f>AKAR(JUMLAH(PANGKAT(Normalisasi!$J$26-Konvergensi!$B$6;2);PANGKAT(Normalisasi!$K$26-Konvergensi!$C$6;2);PANGKAT(Normalisasi!$L$26-Konvergensi!$D$6;2);PANGKAT(Normalisasi!$M$26-Konvergensi!$E$6;2);PANGKAT(Normalisasi!$N$26-Konvergensi!$F$6;2);PANGKAT(Normalisasi!$O$26-Konvergensi!$G$6;2);PANGKAT(Normalisasi!$P$26-Konvergensi!$H$6;2)))</f>
        <v/>
      </c>
      <c r="E35">
        <f>AKAR(JUMLAH(PANGKAT(Normalisasi!$J$26-Konvergensi!$B$7;2);PANGKAT(Normalisasi!$K$26-Konvergensi!$C$7;2);PANGKAT(Normalisasi!$L$26-Konvergensi!$D$7;2);PANGKAT(Normalisasi!$M$26-Konvergensi!$E$7;2);PANGKAT(Normalisasi!$N$26-Konvergensi!$F$7;2);PANGKAT(Normalisasi!$O$26-Konvergensi!$G$7;2);PANGKAT(Normalisasi!$P$26-Konvergensi!$H$7;2)))</f>
        <v/>
      </c>
      <c r="F35">
        <f>JIKA(C35&lt;=D35;=JIKA(C35&lt;=E35;0;2);=JIKA(D35&lt;=E35;1;2))</f>
        <v/>
      </c>
      <c r="G35">
        <f>JUMLAH(JIKA(F35=0;JUMLAH(PANGKAT(Normalisasi!$J$26-Konvergensi!$B$64;2);PANGKAT(Normalisasi!$K$26-Konvergensi!$C$64;2);PANGKAT(Normalisasi!$L$26-Konvergensi!$D$64;2);PANGKAT(Normalisasi!$M$26-Konvergensi!$E$64;2);PANGKAT(Normalisasi!$N$26-Konvergensi!$F$64;2);PANGKAT(Normalisasi!$O$26-Konvergensi!$G$64;2);PANGKAT(Normalisasi!$P$26-Konvergensi!$H$64;2));0);JIKA(F35=1;JUMLAH(PANGKAT(Normalisasi!$J$26-Konvergensi!$B$65;2);PANGKAT(Normalisasi!$K$26-Konvergensi!$C$65;2);PANGKAT(Normalisasi!$L$26-Konvergensi!$D$65;2);PANGKAT(Normalisasi!$M$26-Konvergensi!$E$65;2);PANGKAT(Normalisasi!$N$26-Konvergensi!$F$65;2);PANGKAT(Normalisasi!$O$26-Konvergensi!$G$65;2);PANGKAT(Normalisasi!$P$26-Konvergensi!$H$65;2));0);JIKA(F35=2;JUMLAH(PANGKAT(Normalisasi!$J$26-Konvergensi!$B$66;2);PANGKAT(Normalisasi!$K$26-Konvergensi!$C$66;2);PANGKAT(Normalisasi!$L$26-Konvergensi!$D$66;2);PANGKAT(Normalisasi!$M$26-Konvergensi!$E$66;2);PANGKAT(Normalisasi!$N$26-Konvergensi!$F$66;2);PANGKAT(Normalisasi!$O$26-Konvergensi!$G$66;2);PANGKAT(Normalisasi!$P$26-Konvergensi!$H$66;2));0))</f>
        <v/>
      </c>
      <c r="H35" t="n">
        <v>0</v>
      </c>
      <c r="I35" t="n">
        <v>7.701438891179601</v>
      </c>
    </row>
    <row r="36">
      <c r="A36">
        <f>Data_Awal!A27</f>
        <v/>
      </c>
      <c r="B36">
        <f>Data_Awal!B27</f>
        <v/>
      </c>
      <c r="C36">
        <f>AKAR(JUMLAH(PANGKAT(Normalisasi!$J$27-Konvergensi!$B$5;2);PANGKAT(Normalisasi!$K$27-Konvergensi!$C$5;2);PANGKAT(Normalisasi!$L$27-Konvergensi!$D$5;2);PANGKAT(Normalisasi!$M$27-Konvergensi!$E$5;2);PANGKAT(Normalisasi!$N$27-Konvergensi!$F$5;2);PANGKAT(Normalisasi!$O$27-Konvergensi!$G$5;2);PANGKAT(Normalisasi!$P$27-Konvergensi!$H$5;2)))</f>
        <v/>
      </c>
      <c r="D36">
        <f>AKAR(JUMLAH(PANGKAT(Normalisasi!$J$27-Konvergensi!$B$6;2);PANGKAT(Normalisasi!$K$27-Konvergensi!$C$6;2);PANGKAT(Normalisasi!$L$27-Konvergensi!$D$6;2);PANGKAT(Normalisasi!$M$27-Konvergensi!$E$6;2);PANGKAT(Normalisasi!$N$27-Konvergensi!$F$6;2);PANGKAT(Normalisasi!$O$27-Konvergensi!$G$6;2);PANGKAT(Normalisasi!$P$27-Konvergensi!$H$6;2)))</f>
        <v/>
      </c>
      <c r="E36">
        <f>AKAR(JUMLAH(PANGKAT(Normalisasi!$J$27-Konvergensi!$B$7;2);PANGKAT(Normalisasi!$K$27-Konvergensi!$C$7;2);PANGKAT(Normalisasi!$L$27-Konvergensi!$D$7;2);PANGKAT(Normalisasi!$M$27-Konvergensi!$E$7;2);PANGKAT(Normalisasi!$N$27-Konvergensi!$F$7;2);PANGKAT(Normalisasi!$O$27-Konvergensi!$G$7;2);PANGKAT(Normalisasi!$P$27-Konvergensi!$H$7;2)))</f>
        <v/>
      </c>
      <c r="F36">
        <f>JIKA(C36&lt;=D36;=JIKA(C36&lt;=E36;0;2);=JIKA(D36&lt;=E36;1;2))</f>
        <v/>
      </c>
      <c r="G36">
        <f>JUMLAH(JIKA(F36=0;JUMLAH(PANGKAT(Normalisasi!$J$27-Konvergensi!$B$64;2);PANGKAT(Normalisasi!$K$27-Konvergensi!$C$64;2);PANGKAT(Normalisasi!$L$27-Konvergensi!$D$64;2);PANGKAT(Normalisasi!$M$27-Konvergensi!$E$64;2);PANGKAT(Normalisasi!$N$27-Konvergensi!$F$64;2);PANGKAT(Normalisasi!$O$27-Konvergensi!$G$64;2);PANGKAT(Normalisasi!$P$27-Konvergensi!$H$64;2));0);JIKA(F36=1;JUMLAH(PANGKAT(Normalisasi!$J$27-Konvergensi!$B$65;2);PANGKAT(Normalisasi!$K$27-Konvergensi!$C$65;2);PANGKAT(Normalisasi!$L$27-Konvergensi!$D$65;2);PANGKAT(Normalisasi!$M$27-Konvergensi!$E$65;2);PANGKAT(Normalisasi!$N$27-Konvergensi!$F$65;2);PANGKAT(Normalisasi!$O$27-Konvergensi!$G$65;2);PANGKAT(Normalisasi!$P$27-Konvergensi!$H$65;2));0);JIKA(F36=2;JUMLAH(PANGKAT(Normalisasi!$J$27-Konvergensi!$B$66;2);PANGKAT(Normalisasi!$K$27-Konvergensi!$C$66;2);PANGKAT(Normalisasi!$L$27-Konvergensi!$D$66;2);PANGKAT(Normalisasi!$M$27-Konvergensi!$E$66;2);PANGKAT(Normalisasi!$N$27-Konvergensi!$F$66;2);PANGKAT(Normalisasi!$O$27-Konvergensi!$G$66;2);PANGKAT(Normalisasi!$P$27-Konvergensi!$H$66;2));0))</f>
        <v/>
      </c>
      <c r="H36" t="n">
        <v>0</v>
      </c>
      <c r="I36" t="n">
        <v>1.784708753252674</v>
      </c>
    </row>
    <row r="37">
      <c r="A37">
        <f>Data_Awal!A28</f>
        <v/>
      </c>
      <c r="B37">
        <f>Data_Awal!B28</f>
        <v/>
      </c>
      <c r="C37">
        <f>AKAR(JUMLAH(PANGKAT(Normalisasi!$J$28-Konvergensi!$B$5;2);PANGKAT(Normalisasi!$K$28-Konvergensi!$C$5;2);PANGKAT(Normalisasi!$L$28-Konvergensi!$D$5;2);PANGKAT(Normalisasi!$M$28-Konvergensi!$E$5;2);PANGKAT(Normalisasi!$N$28-Konvergensi!$F$5;2);PANGKAT(Normalisasi!$O$28-Konvergensi!$G$5;2);PANGKAT(Normalisasi!$P$28-Konvergensi!$H$5;2)))</f>
        <v/>
      </c>
      <c r="D37">
        <f>AKAR(JUMLAH(PANGKAT(Normalisasi!$J$28-Konvergensi!$B$6;2);PANGKAT(Normalisasi!$K$28-Konvergensi!$C$6;2);PANGKAT(Normalisasi!$L$28-Konvergensi!$D$6;2);PANGKAT(Normalisasi!$M$28-Konvergensi!$E$6;2);PANGKAT(Normalisasi!$N$28-Konvergensi!$F$6;2);PANGKAT(Normalisasi!$O$28-Konvergensi!$G$6;2);PANGKAT(Normalisasi!$P$28-Konvergensi!$H$6;2)))</f>
        <v/>
      </c>
      <c r="E37">
        <f>AKAR(JUMLAH(PANGKAT(Normalisasi!$J$28-Konvergensi!$B$7;2);PANGKAT(Normalisasi!$K$28-Konvergensi!$C$7;2);PANGKAT(Normalisasi!$L$28-Konvergensi!$D$7;2);PANGKAT(Normalisasi!$M$28-Konvergensi!$E$7;2);PANGKAT(Normalisasi!$N$28-Konvergensi!$F$7;2);PANGKAT(Normalisasi!$O$28-Konvergensi!$G$7;2);PANGKAT(Normalisasi!$P$28-Konvergensi!$H$7;2)))</f>
        <v/>
      </c>
      <c r="F37">
        <f>JIKA(C37&lt;=D37;=JIKA(C37&lt;=E37;0;2);=JIKA(D37&lt;=E37;1;2))</f>
        <v/>
      </c>
      <c r="G37">
        <f>JUMLAH(JIKA(F37=0;JUMLAH(PANGKAT(Normalisasi!$J$28-Konvergensi!$B$64;2);PANGKAT(Normalisasi!$K$28-Konvergensi!$C$64;2);PANGKAT(Normalisasi!$L$28-Konvergensi!$D$64;2);PANGKAT(Normalisasi!$M$28-Konvergensi!$E$64;2);PANGKAT(Normalisasi!$N$28-Konvergensi!$F$64;2);PANGKAT(Normalisasi!$O$28-Konvergensi!$G$64;2);PANGKAT(Normalisasi!$P$28-Konvergensi!$H$64;2));0);JIKA(F37=1;JUMLAH(PANGKAT(Normalisasi!$J$28-Konvergensi!$B$65;2);PANGKAT(Normalisasi!$K$28-Konvergensi!$C$65;2);PANGKAT(Normalisasi!$L$28-Konvergensi!$D$65;2);PANGKAT(Normalisasi!$M$28-Konvergensi!$E$65;2);PANGKAT(Normalisasi!$N$28-Konvergensi!$F$65;2);PANGKAT(Normalisasi!$O$28-Konvergensi!$G$65;2);PANGKAT(Normalisasi!$P$28-Konvergensi!$H$65;2));0);JIKA(F37=2;JUMLAH(PANGKAT(Normalisasi!$J$28-Konvergensi!$B$66;2);PANGKAT(Normalisasi!$K$28-Konvergensi!$C$66;2);PANGKAT(Normalisasi!$L$28-Konvergensi!$D$66;2);PANGKAT(Normalisasi!$M$28-Konvergensi!$E$66;2);PANGKAT(Normalisasi!$N$28-Konvergensi!$F$66;2);PANGKAT(Normalisasi!$O$28-Konvergensi!$G$66;2);PANGKAT(Normalisasi!$P$28-Konvergensi!$H$66;2));0))</f>
        <v/>
      </c>
      <c r="H37" t="n">
        <v>0</v>
      </c>
      <c r="I37" t="n">
        <v>11.45496822312252</v>
      </c>
    </row>
    <row r="38">
      <c r="A38">
        <f>Data_Awal!A29</f>
        <v/>
      </c>
      <c r="B38">
        <f>Data_Awal!B29</f>
        <v/>
      </c>
      <c r="C38">
        <f>AKAR(JUMLAH(PANGKAT(Normalisasi!$J$29-Konvergensi!$B$5;2);PANGKAT(Normalisasi!$K$29-Konvergensi!$C$5;2);PANGKAT(Normalisasi!$L$29-Konvergensi!$D$5;2);PANGKAT(Normalisasi!$M$29-Konvergensi!$E$5;2);PANGKAT(Normalisasi!$N$29-Konvergensi!$F$5;2);PANGKAT(Normalisasi!$O$29-Konvergensi!$G$5;2);PANGKAT(Normalisasi!$P$29-Konvergensi!$H$5;2)))</f>
        <v/>
      </c>
      <c r="D38">
        <f>AKAR(JUMLAH(PANGKAT(Normalisasi!$J$29-Konvergensi!$B$6;2);PANGKAT(Normalisasi!$K$29-Konvergensi!$C$6;2);PANGKAT(Normalisasi!$L$29-Konvergensi!$D$6;2);PANGKAT(Normalisasi!$M$29-Konvergensi!$E$6;2);PANGKAT(Normalisasi!$N$29-Konvergensi!$F$6;2);PANGKAT(Normalisasi!$O$29-Konvergensi!$G$6;2);PANGKAT(Normalisasi!$P$29-Konvergensi!$H$6;2)))</f>
        <v/>
      </c>
      <c r="E38">
        <f>AKAR(JUMLAH(PANGKAT(Normalisasi!$J$29-Konvergensi!$B$7;2);PANGKAT(Normalisasi!$K$29-Konvergensi!$C$7;2);PANGKAT(Normalisasi!$L$29-Konvergensi!$D$7;2);PANGKAT(Normalisasi!$M$29-Konvergensi!$E$7;2);PANGKAT(Normalisasi!$N$29-Konvergensi!$F$7;2);PANGKAT(Normalisasi!$O$29-Konvergensi!$G$7;2);PANGKAT(Normalisasi!$P$29-Konvergensi!$H$7;2)))</f>
        <v/>
      </c>
      <c r="F38">
        <f>JIKA(C38&lt;=D38;=JIKA(C38&lt;=E38;0;2);=JIKA(D38&lt;=E38;1;2))</f>
        <v/>
      </c>
      <c r="G38">
        <f>JUMLAH(JIKA(F38=0;JUMLAH(PANGKAT(Normalisasi!$J$29-Konvergensi!$B$64;2);PANGKAT(Normalisasi!$K$29-Konvergensi!$C$64;2);PANGKAT(Normalisasi!$L$29-Konvergensi!$D$64;2);PANGKAT(Normalisasi!$M$29-Konvergensi!$E$64;2);PANGKAT(Normalisasi!$N$29-Konvergensi!$F$64;2);PANGKAT(Normalisasi!$O$29-Konvergensi!$G$64;2);PANGKAT(Normalisasi!$P$29-Konvergensi!$H$64;2));0);JIKA(F38=1;JUMLAH(PANGKAT(Normalisasi!$J$29-Konvergensi!$B$65;2);PANGKAT(Normalisasi!$K$29-Konvergensi!$C$65;2);PANGKAT(Normalisasi!$L$29-Konvergensi!$D$65;2);PANGKAT(Normalisasi!$M$29-Konvergensi!$E$65;2);PANGKAT(Normalisasi!$N$29-Konvergensi!$F$65;2);PANGKAT(Normalisasi!$O$29-Konvergensi!$G$65;2);PANGKAT(Normalisasi!$P$29-Konvergensi!$H$65;2));0);JIKA(F38=2;JUMLAH(PANGKAT(Normalisasi!$J$29-Konvergensi!$B$66;2);PANGKAT(Normalisasi!$K$29-Konvergensi!$C$66;2);PANGKAT(Normalisasi!$L$29-Konvergensi!$D$66;2);PANGKAT(Normalisasi!$M$29-Konvergensi!$E$66;2);PANGKAT(Normalisasi!$N$29-Konvergensi!$F$66;2);PANGKAT(Normalisasi!$O$29-Konvergensi!$G$66;2);PANGKAT(Normalisasi!$P$29-Konvergensi!$H$66;2));0))</f>
        <v/>
      </c>
      <c r="H38" t="n">
        <v>0</v>
      </c>
      <c r="I38" t="n">
        <v>5.253111223804732</v>
      </c>
    </row>
    <row r="39">
      <c r="A39">
        <f>Data_Awal!A30</f>
        <v/>
      </c>
      <c r="B39">
        <f>Data_Awal!B30</f>
        <v/>
      </c>
      <c r="C39">
        <f>AKAR(JUMLAH(PANGKAT(Normalisasi!$J$30-Konvergensi!$B$5;2);PANGKAT(Normalisasi!$K$30-Konvergensi!$C$5;2);PANGKAT(Normalisasi!$L$30-Konvergensi!$D$5;2);PANGKAT(Normalisasi!$M$30-Konvergensi!$E$5;2);PANGKAT(Normalisasi!$N$30-Konvergensi!$F$5;2);PANGKAT(Normalisasi!$O$30-Konvergensi!$G$5;2);PANGKAT(Normalisasi!$P$30-Konvergensi!$H$5;2)))</f>
        <v/>
      </c>
      <c r="D39">
        <f>AKAR(JUMLAH(PANGKAT(Normalisasi!$J$30-Konvergensi!$B$6;2);PANGKAT(Normalisasi!$K$30-Konvergensi!$C$6;2);PANGKAT(Normalisasi!$L$30-Konvergensi!$D$6;2);PANGKAT(Normalisasi!$M$30-Konvergensi!$E$6;2);PANGKAT(Normalisasi!$N$30-Konvergensi!$F$6;2);PANGKAT(Normalisasi!$O$30-Konvergensi!$G$6;2);PANGKAT(Normalisasi!$P$30-Konvergensi!$H$6;2)))</f>
        <v/>
      </c>
      <c r="E39">
        <f>AKAR(JUMLAH(PANGKAT(Normalisasi!$J$30-Konvergensi!$B$7;2);PANGKAT(Normalisasi!$K$30-Konvergensi!$C$7;2);PANGKAT(Normalisasi!$L$30-Konvergensi!$D$7;2);PANGKAT(Normalisasi!$M$30-Konvergensi!$E$7;2);PANGKAT(Normalisasi!$N$30-Konvergensi!$F$7;2);PANGKAT(Normalisasi!$O$30-Konvergensi!$G$7;2);PANGKAT(Normalisasi!$P$30-Konvergensi!$H$7;2)))</f>
        <v/>
      </c>
      <c r="F39">
        <f>JIKA(C39&lt;=D39;=JIKA(C39&lt;=E39;0;2);=JIKA(D39&lt;=E39;1;2))</f>
        <v/>
      </c>
      <c r="G39">
        <f>JUMLAH(JIKA(F39=0;JUMLAH(PANGKAT(Normalisasi!$J$30-Konvergensi!$B$64;2);PANGKAT(Normalisasi!$K$30-Konvergensi!$C$64;2);PANGKAT(Normalisasi!$L$30-Konvergensi!$D$64;2);PANGKAT(Normalisasi!$M$30-Konvergensi!$E$64;2);PANGKAT(Normalisasi!$N$30-Konvergensi!$F$64;2);PANGKAT(Normalisasi!$O$30-Konvergensi!$G$64;2);PANGKAT(Normalisasi!$P$30-Konvergensi!$H$64;2));0);JIKA(F39=1;JUMLAH(PANGKAT(Normalisasi!$J$30-Konvergensi!$B$65;2);PANGKAT(Normalisasi!$K$30-Konvergensi!$C$65;2);PANGKAT(Normalisasi!$L$30-Konvergensi!$D$65;2);PANGKAT(Normalisasi!$M$30-Konvergensi!$E$65;2);PANGKAT(Normalisasi!$N$30-Konvergensi!$F$65;2);PANGKAT(Normalisasi!$O$30-Konvergensi!$G$65;2);PANGKAT(Normalisasi!$P$30-Konvergensi!$H$65;2));0);JIKA(F39=2;JUMLAH(PANGKAT(Normalisasi!$J$30-Konvergensi!$B$66;2);PANGKAT(Normalisasi!$K$30-Konvergensi!$C$66;2);PANGKAT(Normalisasi!$L$30-Konvergensi!$D$66;2);PANGKAT(Normalisasi!$M$30-Konvergensi!$E$66;2);PANGKAT(Normalisasi!$N$30-Konvergensi!$F$66;2);PANGKAT(Normalisasi!$O$30-Konvergensi!$G$66;2);PANGKAT(Normalisasi!$P$30-Konvergensi!$H$66;2));0))</f>
        <v/>
      </c>
      <c r="H39" t="n">
        <v>0</v>
      </c>
      <c r="I39" t="n">
        <v>7.644991888180413</v>
      </c>
    </row>
    <row r="40">
      <c r="A40">
        <f>Data_Awal!A31</f>
        <v/>
      </c>
      <c r="B40">
        <f>Data_Awal!B31</f>
        <v/>
      </c>
      <c r="C40">
        <f>AKAR(JUMLAH(PANGKAT(Normalisasi!$J$31-Konvergensi!$B$5;2);PANGKAT(Normalisasi!$K$31-Konvergensi!$C$5;2);PANGKAT(Normalisasi!$L$31-Konvergensi!$D$5;2);PANGKAT(Normalisasi!$M$31-Konvergensi!$E$5;2);PANGKAT(Normalisasi!$N$31-Konvergensi!$F$5;2);PANGKAT(Normalisasi!$O$31-Konvergensi!$G$5;2);PANGKAT(Normalisasi!$P$31-Konvergensi!$H$5;2)))</f>
        <v/>
      </c>
      <c r="D40">
        <f>AKAR(JUMLAH(PANGKAT(Normalisasi!$J$31-Konvergensi!$B$6;2);PANGKAT(Normalisasi!$K$31-Konvergensi!$C$6;2);PANGKAT(Normalisasi!$L$31-Konvergensi!$D$6;2);PANGKAT(Normalisasi!$M$31-Konvergensi!$E$6;2);PANGKAT(Normalisasi!$N$31-Konvergensi!$F$6;2);PANGKAT(Normalisasi!$O$31-Konvergensi!$G$6;2);PANGKAT(Normalisasi!$P$31-Konvergensi!$H$6;2)))</f>
        <v/>
      </c>
      <c r="E40">
        <f>AKAR(JUMLAH(PANGKAT(Normalisasi!$J$31-Konvergensi!$B$7;2);PANGKAT(Normalisasi!$K$31-Konvergensi!$C$7;2);PANGKAT(Normalisasi!$L$31-Konvergensi!$D$7;2);PANGKAT(Normalisasi!$M$31-Konvergensi!$E$7;2);PANGKAT(Normalisasi!$N$31-Konvergensi!$F$7;2);PANGKAT(Normalisasi!$O$31-Konvergensi!$G$7;2);PANGKAT(Normalisasi!$P$31-Konvergensi!$H$7;2)))</f>
        <v/>
      </c>
      <c r="F40">
        <f>JIKA(C40&lt;=D40;=JIKA(C40&lt;=E40;0;2);=JIKA(D40&lt;=E40;1;2))</f>
        <v/>
      </c>
      <c r="G40">
        <f>JUMLAH(JIKA(F40=0;JUMLAH(PANGKAT(Normalisasi!$J$31-Konvergensi!$B$64;2);PANGKAT(Normalisasi!$K$31-Konvergensi!$C$64;2);PANGKAT(Normalisasi!$L$31-Konvergensi!$D$64;2);PANGKAT(Normalisasi!$M$31-Konvergensi!$E$64;2);PANGKAT(Normalisasi!$N$31-Konvergensi!$F$64;2);PANGKAT(Normalisasi!$O$31-Konvergensi!$G$64;2);PANGKAT(Normalisasi!$P$31-Konvergensi!$H$64;2));0);JIKA(F40=1;JUMLAH(PANGKAT(Normalisasi!$J$31-Konvergensi!$B$65;2);PANGKAT(Normalisasi!$K$31-Konvergensi!$C$65;2);PANGKAT(Normalisasi!$L$31-Konvergensi!$D$65;2);PANGKAT(Normalisasi!$M$31-Konvergensi!$E$65;2);PANGKAT(Normalisasi!$N$31-Konvergensi!$F$65;2);PANGKAT(Normalisasi!$O$31-Konvergensi!$G$65;2);PANGKAT(Normalisasi!$P$31-Konvergensi!$H$65;2));0);JIKA(F40=2;JUMLAH(PANGKAT(Normalisasi!$J$31-Konvergensi!$B$66;2);PANGKAT(Normalisasi!$K$31-Konvergensi!$C$66;2);PANGKAT(Normalisasi!$L$31-Konvergensi!$D$66;2);PANGKAT(Normalisasi!$M$31-Konvergensi!$E$66;2);PANGKAT(Normalisasi!$N$31-Konvergensi!$F$66;2);PANGKAT(Normalisasi!$O$31-Konvergensi!$G$66;2);PANGKAT(Normalisasi!$P$31-Konvergensi!$H$66;2));0))</f>
        <v/>
      </c>
      <c r="H40" t="n">
        <v>0</v>
      </c>
      <c r="I40" t="n">
        <v>7.597565833127224</v>
      </c>
    </row>
    <row r="41">
      <c r="A41">
        <f>Data_Awal!A32</f>
        <v/>
      </c>
      <c r="B41">
        <f>Data_Awal!B32</f>
        <v/>
      </c>
      <c r="C41">
        <f>AKAR(JUMLAH(PANGKAT(Normalisasi!$J$32-Konvergensi!$B$5;2);PANGKAT(Normalisasi!$K$32-Konvergensi!$C$5;2);PANGKAT(Normalisasi!$L$32-Konvergensi!$D$5;2);PANGKAT(Normalisasi!$M$32-Konvergensi!$E$5;2);PANGKAT(Normalisasi!$N$32-Konvergensi!$F$5;2);PANGKAT(Normalisasi!$O$32-Konvergensi!$G$5;2);PANGKAT(Normalisasi!$P$32-Konvergensi!$H$5;2)))</f>
        <v/>
      </c>
      <c r="D41">
        <f>AKAR(JUMLAH(PANGKAT(Normalisasi!$J$32-Konvergensi!$B$6;2);PANGKAT(Normalisasi!$K$32-Konvergensi!$C$6;2);PANGKAT(Normalisasi!$L$32-Konvergensi!$D$6;2);PANGKAT(Normalisasi!$M$32-Konvergensi!$E$6;2);PANGKAT(Normalisasi!$N$32-Konvergensi!$F$6;2);PANGKAT(Normalisasi!$O$32-Konvergensi!$G$6;2);PANGKAT(Normalisasi!$P$32-Konvergensi!$H$6;2)))</f>
        <v/>
      </c>
      <c r="E41">
        <f>AKAR(JUMLAH(PANGKAT(Normalisasi!$J$32-Konvergensi!$B$7;2);PANGKAT(Normalisasi!$K$32-Konvergensi!$C$7;2);PANGKAT(Normalisasi!$L$32-Konvergensi!$D$7;2);PANGKAT(Normalisasi!$M$32-Konvergensi!$E$7;2);PANGKAT(Normalisasi!$N$32-Konvergensi!$F$7;2);PANGKAT(Normalisasi!$O$32-Konvergensi!$G$7;2);PANGKAT(Normalisasi!$P$32-Konvergensi!$H$7;2)))</f>
        <v/>
      </c>
      <c r="F41">
        <f>JIKA(C41&lt;=D41;=JIKA(C41&lt;=E41;0;2);=JIKA(D41&lt;=E41;1;2))</f>
        <v/>
      </c>
      <c r="G41">
        <f>JUMLAH(JIKA(F41=0;JUMLAH(PANGKAT(Normalisasi!$J$32-Konvergensi!$B$64;2);PANGKAT(Normalisasi!$K$32-Konvergensi!$C$64;2);PANGKAT(Normalisasi!$L$32-Konvergensi!$D$64;2);PANGKAT(Normalisasi!$M$32-Konvergensi!$E$64;2);PANGKAT(Normalisasi!$N$32-Konvergensi!$F$64;2);PANGKAT(Normalisasi!$O$32-Konvergensi!$G$64;2);PANGKAT(Normalisasi!$P$32-Konvergensi!$H$64;2));0);JIKA(F41=1;JUMLAH(PANGKAT(Normalisasi!$J$32-Konvergensi!$B$65;2);PANGKAT(Normalisasi!$K$32-Konvergensi!$C$65;2);PANGKAT(Normalisasi!$L$32-Konvergensi!$D$65;2);PANGKAT(Normalisasi!$M$32-Konvergensi!$E$65;2);PANGKAT(Normalisasi!$N$32-Konvergensi!$F$65;2);PANGKAT(Normalisasi!$O$32-Konvergensi!$G$65;2);PANGKAT(Normalisasi!$P$32-Konvergensi!$H$65;2));0);JIKA(F41=2;JUMLAH(PANGKAT(Normalisasi!$J$32-Konvergensi!$B$66;2);PANGKAT(Normalisasi!$K$32-Konvergensi!$C$66;2);PANGKAT(Normalisasi!$L$32-Konvergensi!$D$66;2);PANGKAT(Normalisasi!$M$32-Konvergensi!$E$66;2);PANGKAT(Normalisasi!$N$32-Konvergensi!$F$66;2);PANGKAT(Normalisasi!$O$32-Konvergensi!$G$66;2);PANGKAT(Normalisasi!$P$32-Konvergensi!$H$66;2));0))</f>
        <v/>
      </c>
      <c r="H41" t="n">
        <v>0</v>
      </c>
      <c r="I41" t="n">
        <v>4.847962946026506</v>
      </c>
    </row>
    <row r="42">
      <c r="A42">
        <f>Data_Awal!A33</f>
        <v/>
      </c>
      <c r="B42">
        <f>Data_Awal!B33</f>
        <v/>
      </c>
      <c r="C42">
        <f>AKAR(JUMLAH(PANGKAT(Normalisasi!$J$33-Konvergensi!$B$5;2);PANGKAT(Normalisasi!$K$33-Konvergensi!$C$5;2);PANGKAT(Normalisasi!$L$33-Konvergensi!$D$5;2);PANGKAT(Normalisasi!$M$33-Konvergensi!$E$5;2);PANGKAT(Normalisasi!$N$33-Konvergensi!$F$5;2);PANGKAT(Normalisasi!$O$33-Konvergensi!$G$5;2);PANGKAT(Normalisasi!$P$33-Konvergensi!$H$5;2)))</f>
        <v/>
      </c>
      <c r="D42">
        <f>AKAR(JUMLAH(PANGKAT(Normalisasi!$J$33-Konvergensi!$B$6;2);PANGKAT(Normalisasi!$K$33-Konvergensi!$C$6;2);PANGKAT(Normalisasi!$L$33-Konvergensi!$D$6;2);PANGKAT(Normalisasi!$M$33-Konvergensi!$E$6;2);PANGKAT(Normalisasi!$N$33-Konvergensi!$F$6;2);PANGKAT(Normalisasi!$O$33-Konvergensi!$G$6;2);PANGKAT(Normalisasi!$P$33-Konvergensi!$H$6;2)))</f>
        <v/>
      </c>
      <c r="E42">
        <f>AKAR(JUMLAH(PANGKAT(Normalisasi!$J$33-Konvergensi!$B$7;2);PANGKAT(Normalisasi!$K$33-Konvergensi!$C$7;2);PANGKAT(Normalisasi!$L$33-Konvergensi!$D$7;2);PANGKAT(Normalisasi!$M$33-Konvergensi!$E$7;2);PANGKAT(Normalisasi!$N$33-Konvergensi!$F$7;2);PANGKAT(Normalisasi!$O$33-Konvergensi!$G$7;2);PANGKAT(Normalisasi!$P$33-Konvergensi!$H$7;2)))</f>
        <v/>
      </c>
      <c r="F42">
        <f>JIKA(C42&lt;=D42;=JIKA(C42&lt;=E42;0;2);=JIKA(D42&lt;=E42;1;2))</f>
        <v/>
      </c>
      <c r="G42">
        <f>JUMLAH(JIKA(F42=0;JUMLAH(PANGKAT(Normalisasi!$J$33-Konvergensi!$B$64;2);PANGKAT(Normalisasi!$K$33-Konvergensi!$C$64;2);PANGKAT(Normalisasi!$L$33-Konvergensi!$D$64;2);PANGKAT(Normalisasi!$M$33-Konvergensi!$E$64;2);PANGKAT(Normalisasi!$N$33-Konvergensi!$F$64;2);PANGKAT(Normalisasi!$O$33-Konvergensi!$G$64;2);PANGKAT(Normalisasi!$P$33-Konvergensi!$H$64;2));0);JIKA(F42=1;JUMLAH(PANGKAT(Normalisasi!$J$33-Konvergensi!$B$65;2);PANGKAT(Normalisasi!$K$33-Konvergensi!$C$65;2);PANGKAT(Normalisasi!$L$33-Konvergensi!$D$65;2);PANGKAT(Normalisasi!$M$33-Konvergensi!$E$65;2);PANGKAT(Normalisasi!$N$33-Konvergensi!$F$65;2);PANGKAT(Normalisasi!$O$33-Konvergensi!$G$65;2);PANGKAT(Normalisasi!$P$33-Konvergensi!$H$65;2));0);JIKA(F42=2;JUMLAH(PANGKAT(Normalisasi!$J$33-Konvergensi!$B$66;2);PANGKAT(Normalisasi!$K$33-Konvergensi!$C$66;2);PANGKAT(Normalisasi!$L$33-Konvergensi!$D$66;2);PANGKAT(Normalisasi!$M$33-Konvergensi!$E$66;2);PANGKAT(Normalisasi!$N$33-Konvergensi!$F$66;2);PANGKAT(Normalisasi!$O$33-Konvergensi!$G$66;2);PANGKAT(Normalisasi!$P$33-Konvergensi!$H$66;2));0))</f>
        <v/>
      </c>
      <c r="H42" t="n">
        <v>0</v>
      </c>
      <c r="I42" t="n">
        <v>7.923791633143301</v>
      </c>
    </row>
    <row r="43">
      <c r="A43">
        <f>Data_Awal!A34</f>
        <v/>
      </c>
      <c r="B43">
        <f>Data_Awal!B34</f>
        <v/>
      </c>
      <c r="C43">
        <f>AKAR(JUMLAH(PANGKAT(Normalisasi!$J$34-Konvergensi!$B$5;2);PANGKAT(Normalisasi!$K$34-Konvergensi!$C$5;2);PANGKAT(Normalisasi!$L$34-Konvergensi!$D$5;2);PANGKAT(Normalisasi!$M$34-Konvergensi!$E$5;2);PANGKAT(Normalisasi!$N$34-Konvergensi!$F$5;2);PANGKAT(Normalisasi!$O$34-Konvergensi!$G$5;2);PANGKAT(Normalisasi!$P$34-Konvergensi!$H$5;2)))</f>
        <v/>
      </c>
      <c r="D43">
        <f>AKAR(JUMLAH(PANGKAT(Normalisasi!$J$34-Konvergensi!$B$6;2);PANGKAT(Normalisasi!$K$34-Konvergensi!$C$6;2);PANGKAT(Normalisasi!$L$34-Konvergensi!$D$6;2);PANGKAT(Normalisasi!$M$34-Konvergensi!$E$6;2);PANGKAT(Normalisasi!$N$34-Konvergensi!$F$6;2);PANGKAT(Normalisasi!$O$34-Konvergensi!$G$6;2);PANGKAT(Normalisasi!$P$34-Konvergensi!$H$6;2)))</f>
        <v/>
      </c>
      <c r="E43">
        <f>AKAR(JUMLAH(PANGKAT(Normalisasi!$J$34-Konvergensi!$B$7;2);PANGKAT(Normalisasi!$K$34-Konvergensi!$C$7;2);PANGKAT(Normalisasi!$L$34-Konvergensi!$D$7;2);PANGKAT(Normalisasi!$M$34-Konvergensi!$E$7;2);PANGKAT(Normalisasi!$N$34-Konvergensi!$F$7;2);PANGKAT(Normalisasi!$O$34-Konvergensi!$G$7;2);PANGKAT(Normalisasi!$P$34-Konvergensi!$H$7;2)))</f>
        <v/>
      </c>
      <c r="F43">
        <f>JIKA(C43&lt;=D43;=JIKA(C43&lt;=E43;0;2);=JIKA(D43&lt;=E43;1;2))</f>
        <v/>
      </c>
      <c r="G43">
        <f>JUMLAH(JIKA(F43=0;JUMLAH(PANGKAT(Normalisasi!$J$34-Konvergensi!$B$64;2);PANGKAT(Normalisasi!$K$34-Konvergensi!$C$64;2);PANGKAT(Normalisasi!$L$34-Konvergensi!$D$64;2);PANGKAT(Normalisasi!$M$34-Konvergensi!$E$64;2);PANGKAT(Normalisasi!$N$34-Konvergensi!$F$64;2);PANGKAT(Normalisasi!$O$34-Konvergensi!$G$64;2);PANGKAT(Normalisasi!$P$34-Konvergensi!$H$64;2));0);JIKA(F43=1;JUMLAH(PANGKAT(Normalisasi!$J$34-Konvergensi!$B$65;2);PANGKAT(Normalisasi!$K$34-Konvergensi!$C$65;2);PANGKAT(Normalisasi!$L$34-Konvergensi!$D$65;2);PANGKAT(Normalisasi!$M$34-Konvergensi!$E$65;2);PANGKAT(Normalisasi!$N$34-Konvergensi!$F$65;2);PANGKAT(Normalisasi!$O$34-Konvergensi!$G$65;2);PANGKAT(Normalisasi!$P$34-Konvergensi!$H$65;2));0);JIKA(F43=2;JUMLAH(PANGKAT(Normalisasi!$J$34-Konvergensi!$B$66;2);PANGKAT(Normalisasi!$K$34-Konvergensi!$C$66;2);PANGKAT(Normalisasi!$L$34-Konvergensi!$D$66;2);PANGKAT(Normalisasi!$M$34-Konvergensi!$E$66;2);PANGKAT(Normalisasi!$N$34-Konvergensi!$F$66;2);PANGKAT(Normalisasi!$O$34-Konvergensi!$G$66;2);PANGKAT(Normalisasi!$P$34-Konvergensi!$H$66;2));0))</f>
        <v/>
      </c>
      <c r="H43" t="n">
        <v>1</v>
      </c>
      <c r="I43" t="n">
        <v>1.562500094743989</v>
      </c>
    </row>
    <row r="44">
      <c r="A44">
        <f>Data_Awal!A35</f>
        <v/>
      </c>
      <c r="B44">
        <f>Data_Awal!B35</f>
        <v/>
      </c>
      <c r="C44">
        <f>AKAR(JUMLAH(PANGKAT(Normalisasi!$J$35-Konvergensi!$B$5;2);PANGKAT(Normalisasi!$K$35-Konvergensi!$C$5;2);PANGKAT(Normalisasi!$L$35-Konvergensi!$D$5;2);PANGKAT(Normalisasi!$M$35-Konvergensi!$E$5;2);PANGKAT(Normalisasi!$N$35-Konvergensi!$F$5;2);PANGKAT(Normalisasi!$O$35-Konvergensi!$G$5;2);PANGKAT(Normalisasi!$P$35-Konvergensi!$H$5;2)))</f>
        <v/>
      </c>
      <c r="D44">
        <f>AKAR(JUMLAH(PANGKAT(Normalisasi!$J$35-Konvergensi!$B$6;2);PANGKAT(Normalisasi!$K$35-Konvergensi!$C$6;2);PANGKAT(Normalisasi!$L$35-Konvergensi!$D$6;2);PANGKAT(Normalisasi!$M$35-Konvergensi!$E$6;2);PANGKAT(Normalisasi!$N$35-Konvergensi!$F$6;2);PANGKAT(Normalisasi!$O$35-Konvergensi!$G$6;2);PANGKAT(Normalisasi!$P$35-Konvergensi!$H$6;2)))</f>
        <v/>
      </c>
      <c r="E44">
        <f>AKAR(JUMLAH(PANGKAT(Normalisasi!$J$35-Konvergensi!$B$7;2);PANGKAT(Normalisasi!$K$35-Konvergensi!$C$7;2);PANGKAT(Normalisasi!$L$35-Konvergensi!$D$7;2);PANGKAT(Normalisasi!$M$35-Konvergensi!$E$7;2);PANGKAT(Normalisasi!$N$35-Konvergensi!$F$7;2);PANGKAT(Normalisasi!$O$35-Konvergensi!$G$7;2);PANGKAT(Normalisasi!$P$35-Konvergensi!$H$7;2)))</f>
        <v/>
      </c>
      <c r="F44">
        <f>JIKA(C44&lt;=D44;=JIKA(C44&lt;=E44;0;2);=JIKA(D44&lt;=E44;1;2))</f>
        <v/>
      </c>
      <c r="G44">
        <f>JUMLAH(JIKA(F44=0;JUMLAH(PANGKAT(Normalisasi!$J$35-Konvergensi!$B$64;2);PANGKAT(Normalisasi!$K$35-Konvergensi!$C$64;2);PANGKAT(Normalisasi!$L$35-Konvergensi!$D$64;2);PANGKAT(Normalisasi!$M$35-Konvergensi!$E$64;2);PANGKAT(Normalisasi!$N$35-Konvergensi!$F$64;2);PANGKAT(Normalisasi!$O$35-Konvergensi!$G$64;2);PANGKAT(Normalisasi!$P$35-Konvergensi!$H$64;2));0);JIKA(F44=1;JUMLAH(PANGKAT(Normalisasi!$J$35-Konvergensi!$B$65;2);PANGKAT(Normalisasi!$K$35-Konvergensi!$C$65;2);PANGKAT(Normalisasi!$L$35-Konvergensi!$D$65;2);PANGKAT(Normalisasi!$M$35-Konvergensi!$E$65;2);PANGKAT(Normalisasi!$N$35-Konvergensi!$F$65;2);PANGKAT(Normalisasi!$O$35-Konvergensi!$G$65;2);PANGKAT(Normalisasi!$P$35-Konvergensi!$H$65;2));0);JIKA(F44=2;JUMLAH(PANGKAT(Normalisasi!$J$35-Konvergensi!$B$66;2);PANGKAT(Normalisasi!$K$35-Konvergensi!$C$66;2);PANGKAT(Normalisasi!$L$35-Konvergensi!$D$66;2);PANGKAT(Normalisasi!$M$35-Konvergensi!$E$66;2);PANGKAT(Normalisasi!$N$35-Konvergensi!$F$66;2);PANGKAT(Normalisasi!$O$35-Konvergensi!$G$66;2);PANGKAT(Normalisasi!$P$35-Konvergensi!$H$66;2));0))</f>
        <v/>
      </c>
      <c r="H44" t="n">
        <v>0</v>
      </c>
      <c r="I44" t="n">
        <v>4.27511705400596</v>
      </c>
    </row>
    <row r="45">
      <c r="A45">
        <f>Data_Awal!A36</f>
        <v/>
      </c>
      <c r="B45">
        <f>Data_Awal!B36</f>
        <v/>
      </c>
      <c r="C45">
        <f>AKAR(JUMLAH(PANGKAT(Normalisasi!$J$36-Konvergensi!$B$5;2);PANGKAT(Normalisasi!$K$36-Konvergensi!$C$5;2);PANGKAT(Normalisasi!$L$36-Konvergensi!$D$5;2);PANGKAT(Normalisasi!$M$36-Konvergensi!$E$5;2);PANGKAT(Normalisasi!$N$36-Konvergensi!$F$5;2);PANGKAT(Normalisasi!$O$36-Konvergensi!$G$5;2);PANGKAT(Normalisasi!$P$36-Konvergensi!$H$5;2)))</f>
        <v/>
      </c>
      <c r="D45">
        <f>AKAR(JUMLAH(PANGKAT(Normalisasi!$J$36-Konvergensi!$B$6;2);PANGKAT(Normalisasi!$K$36-Konvergensi!$C$6;2);PANGKAT(Normalisasi!$L$36-Konvergensi!$D$6;2);PANGKAT(Normalisasi!$M$36-Konvergensi!$E$6;2);PANGKAT(Normalisasi!$N$36-Konvergensi!$F$6;2);PANGKAT(Normalisasi!$O$36-Konvergensi!$G$6;2);PANGKAT(Normalisasi!$P$36-Konvergensi!$H$6;2)))</f>
        <v/>
      </c>
      <c r="E45">
        <f>AKAR(JUMLAH(PANGKAT(Normalisasi!$J$36-Konvergensi!$B$7;2);PANGKAT(Normalisasi!$K$36-Konvergensi!$C$7;2);PANGKAT(Normalisasi!$L$36-Konvergensi!$D$7;2);PANGKAT(Normalisasi!$M$36-Konvergensi!$E$7;2);PANGKAT(Normalisasi!$N$36-Konvergensi!$F$7;2);PANGKAT(Normalisasi!$O$36-Konvergensi!$G$7;2);PANGKAT(Normalisasi!$P$36-Konvergensi!$H$7;2)))</f>
        <v/>
      </c>
      <c r="F45">
        <f>JIKA(C45&lt;=D45;=JIKA(C45&lt;=E45;0;2);=JIKA(D45&lt;=E45;1;2))</f>
        <v/>
      </c>
      <c r="G45">
        <f>JUMLAH(JIKA(F45=0;JUMLAH(PANGKAT(Normalisasi!$J$36-Konvergensi!$B$64;2);PANGKAT(Normalisasi!$K$36-Konvergensi!$C$64;2);PANGKAT(Normalisasi!$L$36-Konvergensi!$D$64;2);PANGKAT(Normalisasi!$M$36-Konvergensi!$E$64;2);PANGKAT(Normalisasi!$N$36-Konvergensi!$F$64;2);PANGKAT(Normalisasi!$O$36-Konvergensi!$G$64;2);PANGKAT(Normalisasi!$P$36-Konvergensi!$H$64;2));0);JIKA(F45=1;JUMLAH(PANGKAT(Normalisasi!$J$36-Konvergensi!$B$65;2);PANGKAT(Normalisasi!$K$36-Konvergensi!$C$65;2);PANGKAT(Normalisasi!$L$36-Konvergensi!$D$65;2);PANGKAT(Normalisasi!$M$36-Konvergensi!$E$65;2);PANGKAT(Normalisasi!$N$36-Konvergensi!$F$65;2);PANGKAT(Normalisasi!$O$36-Konvergensi!$G$65;2);PANGKAT(Normalisasi!$P$36-Konvergensi!$H$65;2));0);JIKA(F45=2;JUMLAH(PANGKAT(Normalisasi!$J$36-Konvergensi!$B$66;2);PANGKAT(Normalisasi!$K$36-Konvergensi!$C$66;2);PANGKAT(Normalisasi!$L$36-Konvergensi!$D$66;2);PANGKAT(Normalisasi!$M$36-Konvergensi!$E$66;2);PANGKAT(Normalisasi!$N$36-Konvergensi!$F$66;2);PANGKAT(Normalisasi!$O$36-Konvergensi!$G$66;2);PANGKAT(Normalisasi!$P$36-Konvergensi!$H$66;2));0))</f>
        <v/>
      </c>
      <c r="H45" t="n">
        <v>0</v>
      </c>
      <c r="I45" t="n">
        <v>5.18807639305994</v>
      </c>
    </row>
    <row r="46">
      <c r="A46">
        <f>Data_Awal!A37</f>
        <v/>
      </c>
      <c r="B46">
        <f>Data_Awal!B37</f>
        <v/>
      </c>
      <c r="C46">
        <f>AKAR(JUMLAH(PANGKAT(Normalisasi!$J$37-Konvergensi!$B$5;2);PANGKAT(Normalisasi!$K$37-Konvergensi!$C$5;2);PANGKAT(Normalisasi!$L$37-Konvergensi!$D$5;2);PANGKAT(Normalisasi!$M$37-Konvergensi!$E$5;2);PANGKAT(Normalisasi!$N$37-Konvergensi!$F$5;2);PANGKAT(Normalisasi!$O$37-Konvergensi!$G$5;2);PANGKAT(Normalisasi!$P$37-Konvergensi!$H$5;2)))</f>
        <v/>
      </c>
      <c r="D46">
        <f>AKAR(JUMLAH(PANGKAT(Normalisasi!$J$37-Konvergensi!$B$6;2);PANGKAT(Normalisasi!$K$37-Konvergensi!$C$6;2);PANGKAT(Normalisasi!$L$37-Konvergensi!$D$6;2);PANGKAT(Normalisasi!$M$37-Konvergensi!$E$6;2);PANGKAT(Normalisasi!$N$37-Konvergensi!$F$6;2);PANGKAT(Normalisasi!$O$37-Konvergensi!$G$6;2);PANGKAT(Normalisasi!$P$37-Konvergensi!$H$6;2)))</f>
        <v/>
      </c>
      <c r="E46">
        <f>AKAR(JUMLAH(PANGKAT(Normalisasi!$J$37-Konvergensi!$B$7;2);PANGKAT(Normalisasi!$K$37-Konvergensi!$C$7;2);PANGKAT(Normalisasi!$L$37-Konvergensi!$D$7;2);PANGKAT(Normalisasi!$M$37-Konvergensi!$E$7;2);PANGKAT(Normalisasi!$N$37-Konvergensi!$F$7;2);PANGKAT(Normalisasi!$O$37-Konvergensi!$G$7;2);PANGKAT(Normalisasi!$P$37-Konvergensi!$H$7;2)))</f>
        <v/>
      </c>
      <c r="F46">
        <f>JIKA(C46&lt;=D46;=JIKA(C46&lt;=E46;0;2);=JIKA(D46&lt;=E46;1;2))</f>
        <v/>
      </c>
      <c r="G46">
        <f>JUMLAH(JIKA(F46=0;JUMLAH(PANGKAT(Normalisasi!$J$37-Konvergensi!$B$64;2);PANGKAT(Normalisasi!$K$37-Konvergensi!$C$64;2);PANGKAT(Normalisasi!$L$37-Konvergensi!$D$64;2);PANGKAT(Normalisasi!$M$37-Konvergensi!$E$64;2);PANGKAT(Normalisasi!$N$37-Konvergensi!$F$64;2);PANGKAT(Normalisasi!$O$37-Konvergensi!$G$64;2);PANGKAT(Normalisasi!$P$37-Konvergensi!$H$64;2));0);JIKA(F46=1;JUMLAH(PANGKAT(Normalisasi!$J$37-Konvergensi!$B$65;2);PANGKAT(Normalisasi!$K$37-Konvergensi!$C$65;2);PANGKAT(Normalisasi!$L$37-Konvergensi!$D$65;2);PANGKAT(Normalisasi!$M$37-Konvergensi!$E$65;2);PANGKAT(Normalisasi!$N$37-Konvergensi!$F$65;2);PANGKAT(Normalisasi!$O$37-Konvergensi!$G$65;2);PANGKAT(Normalisasi!$P$37-Konvergensi!$H$65;2));0);JIKA(F46=2;JUMLAH(PANGKAT(Normalisasi!$J$37-Konvergensi!$B$66;2);PANGKAT(Normalisasi!$K$37-Konvergensi!$C$66;2);PANGKAT(Normalisasi!$L$37-Konvergensi!$D$66;2);PANGKAT(Normalisasi!$M$37-Konvergensi!$E$66;2);PANGKAT(Normalisasi!$N$37-Konvergensi!$F$66;2);PANGKAT(Normalisasi!$O$37-Konvergensi!$G$66;2);PANGKAT(Normalisasi!$P$37-Konvergensi!$H$66;2));0))</f>
        <v/>
      </c>
      <c r="H46" t="n">
        <v>0</v>
      </c>
      <c r="I46" t="n">
        <v>5.660805954926283</v>
      </c>
    </row>
    <row r="47">
      <c r="A47">
        <f>Data_Awal!A38</f>
        <v/>
      </c>
      <c r="B47">
        <f>Data_Awal!B38</f>
        <v/>
      </c>
      <c r="C47">
        <f>AKAR(JUMLAH(PANGKAT(Normalisasi!$J$38-Konvergensi!$B$5;2);PANGKAT(Normalisasi!$K$38-Konvergensi!$C$5;2);PANGKAT(Normalisasi!$L$38-Konvergensi!$D$5;2);PANGKAT(Normalisasi!$M$38-Konvergensi!$E$5;2);PANGKAT(Normalisasi!$N$38-Konvergensi!$F$5;2);PANGKAT(Normalisasi!$O$38-Konvergensi!$G$5;2);PANGKAT(Normalisasi!$P$38-Konvergensi!$H$5;2)))</f>
        <v/>
      </c>
      <c r="D47">
        <f>AKAR(JUMLAH(PANGKAT(Normalisasi!$J$38-Konvergensi!$B$6;2);PANGKAT(Normalisasi!$K$38-Konvergensi!$C$6;2);PANGKAT(Normalisasi!$L$38-Konvergensi!$D$6;2);PANGKAT(Normalisasi!$M$38-Konvergensi!$E$6;2);PANGKAT(Normalisasi!$N$38-Konvergensi!$F$6;2);PANGKAT(Normalisasi!$O$38-Konvergensi!$G$6;2);PANGKAT(Normalisasi!$P$38-Konvergensi!$H$6;2)))</f>
        <v/>
      </c>
      <c r="E47">
        <f>AKAR(JUMLAH(PANGKAT(Normalisasi!$J$38-Konvergensi!$B$7;2);PANGKAT(Normalisasi!$K$38-Konvergensi!$C$7;2);PANGKAT(Normalisasi!$L$38-Konvergensi!$D$7;2);PANGKAT(Normalisasi!$M$38-Konvergensi!$E$7;2);PANGKAT(Normalisasi!$N$38-Konvergensi!$F$7;2);PANGKAT(Normalisasi!$O$38-Konvergensi!$G$7;2);PANGKAT(Normalisasi!$P$38-Konvergensi!$H$7;2)))</f>
        <v/>
      </c>
      <c r="F47">
        <f>JIKA(C47&lt;=D47;=JIKA(C47&lt;=E47;0;2);=JIKA(D47&lt;=E47;1;2))</f>
        <v/>
      </c>
      <c r="G47">
        <f>JUMLAH(JIKA(F47=0;JUMLAH(PANGKAT(Normalisasi!$J$38-Konvergensi!$B$64;2);PANGKAT(Normalisasi!$K$38-Konvergensi!$C$64;2);PANGKAT(Normalisasi!$L$38-Konvergensi!$D$64;2);PANGKAT(Normalisasi!$M$38-Konvergensi!$E$64;2);PANGKAT(Normalisasi!$N$38-Konvergensi!$F$64;2);PANGKAT(Normalisasi!$O$38-Konvergensi!$G$64;2);PANGKAT(Normalisasi!$P$38-Konvergensi!$H$64;2));0);JIKA(F47=1;JUMLAH(PANGKAT(Normalisasi!$J$38-Konvergensi!$B$65;2);PANGKAT(Normalisasi!$K$38-Konvergensi!$C$65;2);PANGKAT(Normalisasi!$L$38-Konvergensi!$D$65;2);PANGKAT(Normalisasi!$M$38-Konvergensi!$E$65;2);PANGKAT(Normalisasi!$N$38-Konvergensi!$F$65;2);PANGKAT(Normalisasi!$O$38-Konvergensi!$G$65;2);PANGKAT(Normalisasi!$P$38-Konvergensi!$H$65;2));0);JIKA(F47=2;JUMLAH(PANGKAT(Normalisasi!$J$38-Konvergensi!$B$66;2);PANGKAT(Normalisasi!$K$38-Konvergensi!$C$66;2);PANGKAT(Normalisasi!$L$38-Konvergensi!$D$66;2);PANGKAT(Normalisasi!$M$38-Konvergensi!$E$66;2);PANGKAT(Normalisasi!$N$38-Konvergensi!$F$66;2);PANGKAT(Normalisasi!$O$38-Konvergensi!$G$66;2);PANGKAT(Normalisasi!$P$38-Konvergensi!$H$66;2));0))</f>
        <v/>
      </c>
      <c r="H47" t="n">
        <v>1</v>
      </c>
      <c r="I47" t="n">
        <v>4.441954367693542</v>
      </c>
    </row>
    <row r="48">
      <c r="A48">
        <f>Data_Awal!A39</f>
        <v/>
      </c>
      <c r="B48">
        <f>Data_Awal!B39</f>
        <v/>
      </c>
      <c r="C48">
        <f>AKAR(JUMLAH(PANGKAT(Normalisasi!$J$39-Konvergensi!$B$5;2);PANGKAT(Normalisasi!$K$39-Konvergensi!$C$5;2);PANGKAT(Normalisasi!$L$39-Konvergensi!$D$5;2);PANGKAT(Normalisasi!$M$39-Konvergensi!$E$5;2);PANGKAT(Normalisasi!$N$39-Konvergensi!$F$5;2);PANGKAT(Normalisasi!$O$39-Konvergensi!$G$5;2);PANGKAT(Normalisasi!$P$39-Konvergensi!$H$5;2)))</f>
        <v/>
      </c>
      <c r="D48">
        <f>AKAR(JUMLAH(PANGKAT(Normalisasi!$J$39-Konvergensi!$B$6;2);PANGKAT(Normalisasi!$K$39-Konvergensi!$C$6;2);PANGKAT(Normalisasi!$L$39-Konvergensi!$D$6;2);PANGKAT(Normalisasi!$M$39-Konvergensi!$E$6;2);PANGKAT(Normalisasi!$N$39-Konvergensi!$F$6;2);PANGKAT(Normalisasi!$O$39-Konvergensi!$G$6;2);PANGKAT(Normalisasi!$P$39-Konvergensi!$H$6;2)))</f>
        <v/>
      </c>
      <c r="E48">
        <f>AKAR(JUMLAH(PANGKAT(Normalisasi!$J$39-Konvergensi!$B$7;2);PANGKAT(Normalisasi!$K$39-Konvergensi!$C$7;2);PANGKAT(Normalisasi!$L$39-Konvergensi!$D$7;2);PANGKAT(Normalisasi!$M$39-Konvergensi!$E$7;2);PANGKAT(Normalisasi!$N$39-Konvergensi!$F$7;2);PANGKAT(Normalisasi!$O$39-Konvergensi!$G$7;2);PANGKAT(Normalisasi!$P$39-Konvergensi!$H$7;2)))</f>
        <v/>
      </c>
      <c r="F48">
        <f>JIKA(C48&lt;=D48;=JIKA(C48&lt;=E48;0;2);=JIKA(D48&lt;=E48;1;2))</f>
        <v/>
      </c>
      <c r="G48">
        <f>JUMLAH(JIKA(F48=0;JUMLAH(PANGKAT(Normalisasi!$J$39-Konvergensi!$B$64;2);PANGKAT(Normalisasi!$K$39-Konvergensi!$C$64;2);PANGKAT(Normalisasi!$L$39-Konvergensi!$D$64;2);PANGKAT(Normalisasi!$M$39-Konvergensi!$E$64;2);PANGKAT(Normalisasi!$N$39-Konvergensi!$F$64;2);PANGKAT(Normalisasi!$O$39-Konvergensi!$G$64;2);PANGKAT(Normalisasi!$P$39-Konvergensi!$H$64;2));0);JIKA(F48=1;JUMLAH(PANGKAT(Normalisasi!$J$39-Konvergensi!$B$65;2);PANGKAT(Normalisasi!$K$39-Konvergensi!$C$65;2);PANGKAT(Normalisasi!$L$39-Konvergensi!$D$65;2);PANGKAT(Normalisasi!$M$39-Konvergensi!$E$65;2);PANGKAT(Normalisasi!$N$39-Konvergensi!$F$65;2);PANGKAT(Normalisasi!$O$39-Konvergensi!$G$65;2);PANGKAT(Normalisasi!$P$39-Konvergensi!$H$65;2));0);JIKA(F48=2;JUMLAH(PANGKAT(Normalisasi!$J$39-Konvergensi!$B$66;2);PANGKAT(Normalisasi!$K$39-Konvergensi!$C$66;2);PANGKAT(Normalisasi!$L$39-Konvergensi!$D$66;2);PANGKAT(Normalisasi!$M$39-Konvergensi!$E$66;2);PANGKAT(Normalisasi!$N$39-Konvergensi!$F$66;2);PANGKAT(Normalisasi!$O$39-Konvergensi!$G$66;2);PANGKAT(Normalisasi!$P$39-Konvergensi!$H$66;2));0))</f>
        <v/>
      </c>
      <c r="H48" t="n">
        <v>0</v>
      </c>
      <c r="I48" t="n">
        <v>10.24120088376202</v>
      </c>
    </row>
    <row r="49">
      <c r="A49">
        <f>Data_Awal!A40</f>
        <v/>
      </c>
      <c r="B49">
        <f>Data_Awal!B40</f>
        <v/>
      </c>
      <c r="C49">
        <f>AKAR(JUMLAH(PANGKAT(Normalisasi!$J$40-Konvergensi!$B$5;2);PANGKAT(Normalisasi!$K$40-Konvergensi!$C$5;2);PANGKAT(Normalisasi!$L$40-Konvergensi!$D$5;2);PANGKAT(Normalisasi!$M$40-Konvergensi!$E$5;2);PANGKAT(Normalisasi!$N$40-Konvergensi!$F$5;2);PANGKAT(Normalisasi!$O$40-Konvergensi!$G$5;2);PANGKAT(Normalisasi!$P$40-Konvergensi!$H$5;2)))</f>
        <v/>
      </c>
      <c r="D49">
        <f>AKAR(JUMLAH(PANGKAT(Normalisasi!$J$40-Konvergensi!$B$6;2);PANGKAT(Normalisasi!$K$40-Konvergensi!$C$6;2);PANGKAT(Normalisasi!$L$40-Konvergensi!$D$6;2);PANGKAT(Normalisasi!$M$40-Konvergensi!$E$6;2);PANGKAT(Normalisasi!$N$40-Konvergensi!$F$6;2);PANGKAT(Normalisasi!$O$40-Konvergensi!$G$6;2);PANGKAT(Normalisasi!$P$40-Konvergensi!$H$6;2)))</f>
        <v/>
      </c>
      <c r="E49">
        <f>AKAR(JUMLAH(PANGKAT(Normalisasi!$J$40-Konvergensi!$B$7;2);PANGKAT(Normalisasi!$K$40-Konvergensi!$C$7;2);PANGKAT(Normalisasi!$L$40-Konvergensi!$D$7;2);PANGKAT(Normalisasi!$M$40-Konvergensi!$E$7;2);PANGKAT(Normalisasi!$N$40-Konvergensi!$F$7;2);PANGKAT(Normalisasi!$O$40-Konvergensi!$G$7;2);PANGKAT(Normalisasi!$P$40-Konvergensi!$H$7;2)))</f>
        <v/>
      </c>
      <c r="F49">
        <f>JIKA(C49&lt;=D49;=JIKA(C49&lt;=E49;0;2);=JIKA(D49&lt;=E49;1;2))</f>
        <v/>
      </c>
      <c r="G49">
        <f>JUMLAH(JIKA(F49=0;JUMLAH(PANGKAT(Normalisasi!$J$40-Konvergensi!$B$64;2);PANGKAT(Normalisasi!$K$40-Konvergensi!$C$64;2);PANGKAT(Normalisasi!$L$40-Konvergensi!$D$64;2);PANGKAT(Normalisasi!$M$40-Konvergensi!$E$64;2);PANGKAT(Normalisasi!$N$40-Konvergensi!$F$64;2);PANGKAT(Normalisasi!$O$40-Konvergensi!$G$64;2);PANGKAT(Normalisasi!$P$40-Konvergensi!$H$64;2));0);JIKA(F49=1;JUMLAH(PANGKAT(Normalisasi!$J$40-Konvergensi!$B$65;2);PANGKAT(Normalisasi!$K$40-Konvergensi!$C$65;2);PANGKAT(Normalisasi!$L$40-Konvergensi!$D$65;2);PANGKAT(Normalisasi!$M$40-Konvergensi!$E$65;2);PANGKAT(Normalisasi!$N$40-Konvergensi!$F$65;2);PANGKAT(Normalisasi!$O$40-Konvergensi!$G$65;2);PANGKAT(Normalisasi!$P$40-Konvergensi!$H$65;2));0);JIKA(F49=2;JUMLAH(PANGKAT(Normalisasi!$J$40-Konvergensi!$B$66;2);PANGKAT(Normalisasi!$K$40-Konvergensi!$C$66;2);PANGKAT(Normalisasi!$L$40-Konvergensi!$D$66;2);PANGKAT(Normalisasi!$M$40-Konvergensi!$E$66;2);PANGKAT(Normalisasi!$N$40-Konvergensi!$F$66;2);PANGKAT(Normalisasi!$O$40-Konvergensi!$G$66;2);PANGKAT(Normalisasi!$P$40-Konvergensi!$H$66;2));0))</f>
        <v/>
      </c>
      <c r="H49" t="n">
        <v>1</v>
      </c>
      <c r="I49" t="n">
        <v>5.173312419456261</v>
      </c>
    </row>
    <row r="50">
      <c r="A50">
        <f>Data_Awal!A41</f>
        <v/>
      </c>
      <c r="B50">
        <f>Data_Awal!B41</f>
        <v/>
      </c>
      <c r="C50">
        <f>AKAR(JUMLAH(PANGKAT(Normalisasi!$J$41-Konvergensi!$B$5;2);PANGKAT(Normalisasi!$K$41-Konvergensi!$C$5;2);PANGKAT(Normalisasi!$L$41-Konvergensi!$D$5;2);PANGKAT(Normalisasi!$M$41-Konvergensi!$E$5;2);PANGKAT(Normalisasi!$N$41-Konvergensi!$F$5;2);PANGKAT(Normalisasi!$O$41-Konvergensi!$G$5;2);PANGKAT(Normalisasi!$P$41-Konvergensi!$H$5;2)))</f>
        <v/>
      </c>
      <c r="D50">
        <f>AKAR(JUMLAH(PANGKAT(Normalisasi!$J$41-Konvergensi!$B$6;2);PANGKAT(Normalisasi!$K$41-Konvergensi!$C$6;2);PANGKAT(Normalisasi!$L$41-Konvergensi!$D$6;2);PANGKAT(Normalisasi!$M$41-Konvergensi!$E$6;2);PANGKAT(Normalisasi!$N$41-Konvergensi!$F$6;2);PANGKAT(Normalisasi!$O$41-Konvergensi!$G$6;2);PANGKAT(Normalisasi!$P$41-Konvergensi!$H$6;2)))</f>
        <v/>
      </c>
      <c r="E50">
        <f>AKAR(JUMLAH(PANGKAT(Normalisasi!$J$41-Konvergensi!$B$7;2);PANGKAT(Normalisasi!$K$41-Konvergensi!$C$7;2);PANGKAT(Normalisasi!$L$41-Konvergensi!$D$7;2);PANGKAT(Normalisasi!$M$41-Konvergensi!$E$7;2);PANGKAT(Normalisasi!$N$41-Konvergensi!$F$7;2);PANGKAT(Normalisasi!$O$41-Konvergensi!$G$7;2);PANGKAT(Normalisasi!$P$41-Konvergensi!$H$7;2)))</f>
        <v/>
      </c>
      <c r="F50">
        <f>JIKA(C50&lt;=D50;=JIKA(C50&lt;=E50;0;2);=JIKA(D50&lt;=E50;1;2))</f>
        <v/>
      </c>
      <c r="G50">
        <f>JUMLAH(JIKA(F50=0;JUMLAH(PANGKAT(Normalisasi!$J$41-Konvergensi!$B$64;2);PANGKAT(Normalisasi!$K$41-Konvergensi!$C$64;2);PANGKAT(Normalisasi!$L$41-Konvergensi!$D$64;2);PANGKAT(Normalisasi!$M$41-Konvergensi!$E$64;2);PANGKAT(Normalisasi!$N$41-Konvergensi!$F$64;2);PANGKAT(Normalisasi!$O$41-Konvergensi!$G$64;2);PANGKAT(Normalisasi!$P$41-Konvergensi!$H$64;2));0);JIKA(F50=1;JUMLAH(PANGKAT(Normalisasi!$J$41-Konvergensi!$B$65;2);PANGKAT(Normalisasi!$K$41-Konvergensi!$C$65;2);PANGKAT(Normalisasi!$L$41-Konvergensi!$D$65;2);PANGKAT(Normalisasi!$M$41-Konvergensi!$E$65;2);PANGKAT(Normalisasi!$N$41-Konvergensi!$F$65;2);PANGKAT(Normalisasi!$O$41-Konvergensi!$G$65;2);PANGKAT(Normalisasi!$P$41-Konvergensi!$H$65;2));0);JIKA(F50=2;JUMLAH(PANGKAT(Normalisasi!$J$41-Konvergensi!$B$66;2);PANGKAT(Normalisasi!$K$41-Konvergensi!$C$66;2);PANGKAT(Normalisasi!$L$41-Konvergensi!$D$66;2);PANGKAT(Normalisasi!$M$41-Konvergensi!$E$66;2);PANGKAT(Normalisasi!$N$41-Konvergensi!$F$66;2);PANGKAT(Normalisasi!$O$41-Konvergensi!$G$66;2);PANGKAT(Normalisasi!$P$41-Konvergensi!$H$66;2));0))</f>
        <v/>
      </c>
      <c r="H50" t="n">
        <v>1</v>
      </c>
      <c r="I50" t="n">
        <v>7.134532895828698</v>
      </c>
    </row>
    <row r="51">
      <c r="A51">
        <f>Data_Awal!A42</f>
        <v/>
      </c>
      <c r="B51">
        <f>Data_Awal!B42</f>
        <v/>
      </c>
      <c r="C51">
        <f>AKAR(JUMLAH(PANGKAT(Normalisasi!$J$42-Konvergensi!$B$5;2);PANGKAT(Normalisasi!$K$42-Konvergensi!$C$5;2);PANGKAT(Normalisasi!$L$42-Konvergensi!$D$5;2);PANGKAT(Normalisasi!$M$42-Konvergensi!$E$5;2);PANGKAT(Normalisasi!$N$42-Konvergensi!$F$5;2);PANGKAT(Normalisasi!$O$42-Konvergensi!$G$5;2);PANGKAT(Normalisasi!$P$42-Konvergensi!$H$5;2)))</f>
        <v/>
      </c>
      <c r="D51">
        <f>AKAR(JUMLAH(PANGKAT(Normalisasi!$J$42-Konvergensi!$B$6;2);PANGKAT(Normalisasi!$K$42-Konvergensi!$C$6;2);PANGKAT(Normalisasi!$L$42-Konvergensi!$D$6;2);PANGKAT(Normalisasi!$M$42-Konvergensi!$E$6;2);PANGKAT(Normalisasi!$N$42-Konvergensi!$F$6;2);PANGKAT(Normalisasi!$O$42-Konvergensi!$G$6;2);PANGKAT(Normalisasi!$P$42-Konvergensi!$H$6;2)))</f>
        <v/>
      </c>
      <c r="E51">
        <f>AKAR(JUMLAH(PANGKAT(Normalisasi!$J$42-Konvergensi!$B$7;2);PANGKAT(Normalisasi!$K$42-Konvergensi!$C$7;2);PANGKAT(Normalisasi!$L$42-Konvergensi!$D$7;2);PANGKAT(Normalisasi!$M$42-Konvergensi!$E$7;2);PANGKAT(Normalisasi!$N$42-Konvergensi!$F$7;2);PANGKAT(Normalisasi!$O$42-Konvergensi!$G$7;2);PANGKAT(Normalisasi!$P$42-Konvergensi!$H$7;2)))</f>
        <v/>
      </c>
      <c r="F51">
        <f>JIKA(C51&lt;=D51;=JIKA(C51&lt;=E51;0;2);=JIKA(D51&lt;=E51;1;2))</f>
        <v/>
      </c>
      <c r="G51">
        <f>JUMLAH(JIKA(F51=0;JUMLAH(PANGKAT(Normalisasi!$J$42-Konvergensi!$B$64;2);PANGKAT(Normalisasi!$K$42-Konvergensi!$C$64;2);PANGKAT(Normalisasi!$L$42-Konvergensi!$D$64;2);PANGKAT(Normalisasi!$M$42-Konvergensi!$E$64;2);PANGKAT(Normalisasi!$N$42-Konvergensi!$F$64;2);PANGKAT(Normalisasi!$O$42-Konvergensi!$G$64;2);PANGKAT(Normalisasi!$P$42-Konvergensi!$H$64;2));0);JIKA(F51=1;JUMLAH(PANGKAT(Normalisasi!$J$42-Konvergensi!$B$65;2);PANGKAT(Normalisasi!$K$42-Konvergensi!$C$65;2);PANGKAT(Normalisasi!$L$42-Konvergensi!$D$65;2);PANGKAT(Normalisasi!$M$42-Konvergensi!$E$65;2);PANGKAT(Normalisasi!$N$42-Konvergensi!$F$65;2);PANGKAT(Normalisasi!$O$42-Konvergensi!$G$65;2);PANGKAT(Normalisasi!$P$42-Konvergensi!$H$65;2));0);JIKA(F51=2;JUMLAH(PANGKAT(Normalisasi!$J$42-Konvergensi!$B$66;2);PANGKAT(Normalisasi!$K$42-Konvergensi!$C$66;2);PANGKAT(Normalisasi!$L$42-Konvergensi!$D$66;2);PANGKAT(Normalisasi!$M$42-Konvergensi!$E$66;2);PANGKAT(Normalisasi!$N$42-Konvergensi!$F$66;2);PANGKAT(Normalisasi!$O$42-Konvergensi!$G$66;2);PANGKAT(Normalisasi!$P$42-Konvergensi!$H$66;2));0))</f>
        <v/>
      </c>
      <c r="H51" t="n">
        <v>0</v>
      </c>
      <c r="I51" t="n">
        <v>1.556379113542059</v>
      </c>
    </row>
    <row r="52">
      <c r="A52">
        <f>Data_Awal!A43</f>
        <v/>
      </c>
      <c r="B52">
        <f>Data_Awal!B43</f>
        <v/>
      </c>
      <c r="C52">
        <f>AKAR(JUMLAH(PANGKAT(Normalisasi!$J$43-Konvergensi!$B$5;2);PANGKAT(Normalisasi!$K$43-Konvergensi!$C$5;2);PANGKAT(Normalisasi!$L$43-Konvergensi!$D$5;2);PANGKAT(Normalisasi!$M$43-Konvergensi!$E$5;2);PANGKAT(Normalisasi!$N$43-Konvergensi!$F$5;2);PANGKAT(Normalisasi!$O$43-Konvergensi!$G$5;2);PANGKAT(Normalisasi!$P$43-Konvergensi!$H$5;2)))</f>
        <v/>
      </c>
      <c r="D52">
        <f>AKAR(JUMLAH(PANGKAT(Normalisasi!$J$43-Konvergensi!$B$6;2);PANGKAT(Normalisasi!$K$43-Konvergensi!$C$6;2);PANGKAT(Normalisasi!$L$43-Konvergensi!$D$6;2);PANGKAT(Normalisasi!$M$43-Konvergensi!$E$6;2);PANGKAT(Normalisasi!$N$43-Konvergensi!$F$6;2);PANGKAT(Normalisasi!$O$43-Konvergensi!$G$6;2);PANGKAT(Normalisasi!$P$43-Konvergensi!$H$6;2)))</f>
        <v/>
      </c>
      <c r="E52">
        <f>AKAR(JUMLAH(PANGKAT(Normalisasi!$J$43-Konvergensi!$B$7;2);PANGKAT(Normalisasi!$K$43-Konvergensi!$C$7;2);PANGKAT(Normalisasi!$L$43-Konvergensi!$D$7;2);PANGKAT(Normalisasi!$M$43-Konvergensi!$E$7;2);PANGKAT(Normalisasi!$N$43-Konvergensi!$F$7;2);PANGKAT(Normalisasi!$O$43-Konvergensi!$G$7;2);PANGKAT(Normalisasi!$P$43-Konvergensi!$H$7;2)))</f>
        <v/>
      </c>
      <c r="F52">
        <f>JIKA(C52&lt;=D52;=JIKA(C52&lt;=E52;0;2);=JIKA(D52&lt;=E52;1;2))</f>
        <v/>
      </c>
      <c r="G52">
        <f>JUMLAH(JIKA(F52=0;JUMLAH(PANGKAT(Normalisasi!$J$43-Konvergensi!$B$64;2);PANGKAT(Normalisasi!$K$43-Konvergensi!$C$64;2);PANGKAT(Normalisasi!$L$43-Konvergensi!$D$64;2);PANGKAT(Normalisasi!$M$43-Konvergensi!$E$64;2);PANGKAT(Normalisasi!$N$43-Konvergensi!$F$64;2);PANGKAT(Normalisasi!$O$43-Konvergensi!$G$64;2);PANGKAT(Normalisasi!$P$43-Konvergensi!$H$64;2));0);JIKA(F52=1;JUMLAH(PANGKAT(Normalisasi!$J$43-Konvergensi!$B$65;2);PANGKAT(Normalisasi!$K$43-Konvergensi!$C$65;2);PANGKAT(Normalisasi!$L$43-Konvergensi!$D$65;2);PANGKAT(Normalisasi!$M$43-Konvergensi!$E$65;2);PANGKAT(Normalisasi!$N$43-Konvergensi!$F$65;2);PANGKAT(Normalisasi!$O$43-Konvergensi!$G$65;2);PANGKAT(Normalisasi!$P$43-Konvergensi!$H$65;2));0);JIKA(F52=2;JUMLAH(PANGKAT(Normalisasi!$J$43-Konvergensi!$B$66;2);PANGKAT(Normalisasi!$K$43-Konvergensi!$C$66;2);PANGKAT(Normalisasi!$L$43-Konvergensi!$D$66;2);PANGKAT(Normalisasi!$M$43-Konvergensi!$E$66;2);PANGKAT(Normalisasi!$N$43-Konvergensi!$F$66;2);PANGKAT(Normalisasi!$O$43-Konvergensi!$G$66;2);PANGKAT(Normalisasi!$P$43-Konvergensi!$H$66;2));0))</f>
        <v/>
      </c>
      <c r="H52" t="n">
        <v>2</v>
      </c>
      <c r="I52" t="n">
        <v>3.659192571817853</v>
      </c>
    </row>
    <row r="53">
      <c r="A53">
        <f>Data_Awal!A44</f>
        <v/>
      </c>
      <c r="B53">
        <f>Data_Awal!B44</f>
        <v/>
      </c>
      <c r="C53">
        <f>AKAR(JUMLAH(PANGKAT(Normalisasi!$J$44-Konvergensi!$B$5;2);PANGKAT(Normalisasi!$K$44-Konvergensi!$C$5;2);PANGKAT(Normalisasi!$L$44-Konvergensi!$D$5;2);PANGKAT(Normalisasi!$M$44-Konvergensi!$E$5;2);PANGKAT(Normalisasi!$N$44-Konvergensi!$F$5;2);PANGKAT(Normalisasi!$O$44-Konvergensi!$G$5;2);PANGKAT(Normalisasi!$P$44-Konvergensi!$H$5;2)))</f>
        <v/>
      </c>
      <c r="D53">
        <f>AKAR(JUMLAH(PANGKAT(Normalisasi!$J$44-Konvergensi!$B$6;2);PANGKAT(Normalisasi!$K$44-Konvergensi!$C$6;2);PANGKAT(Normalisasi!$L$44-Konvergensi!$D$6;2);PANGKAT(Normalisasi!$M$44-Konvergensi!$E$6;2);PANGKAT(Normalisasi!$N$44-Konvergensi!$F$6;2);PANGKAT(Normalisasi!$O$44-Konvergensi!$G$6;2);PANGKAT(Normalisasi!$P$44-Konvergensi!$H$6;2)))</f>
        <v/>
      </c>
      <c r="E53">
        <f>AKAR(JUMLAH(PANGKAT(Normalisasi!$J$44-Konvergensi!$B$7;2);PANGKAT(Normalisasi!$K$44-Konvergensi!$C$7;2);PANGKAT(Normalisasi!$L$44-Konvergensi!$D$7;2);PANGKAT(Normalisasi!$M$44-Konvergensi!$E$7;2);PANGKAT(Normalisasi!$N$44-Konvergensi!$F$7;2);PANGKAT(Normalisasi!$O$44-Konvergensi!$G$7;2);PANGKAT(Normalisasi!$P$44-Konvergensi!$H$7;2)))</f>
        <v/>
      </c>
      <c r="F53">
        <f>JIKA(C53&lt;=D53;=JIKA(C53&lt;=E53;0;2);=JIKA(D53&lt;=E53;1;2))</f>
        <v/>
      </c>
      <c r="G53">
        <f>JUMLAH(JIKA(F53=0;JUMLAH(PANGKAT(Normalisasi!$J$44-Konvergensi!$B$64;2);PANGKAT(Normalisasi!$K$44-Konvergensi!$C$64;2);PANGKAT(Normalisasi!$L$44-Konvergensi!$D$64;2);PANGKAT(Normalisasi!$M$44-Konvergensi!$E$64;2);PANGKAT(Normalisasi!$N$44-Konvergensi!$F$64;2);PANGKAT(Normalisasi!$O$44-Konvergensi!$G$64;2);PANGKAT(Normalisasi!$P$44-Konvergensi!$H$64;2));0);JIKA(F53=1;JUMLAH(PANGKAT(Normalisasi!$J$44-Konvergensi!$B$65;2);PANGKAT(Normalisasi!$K$44-Konvergensi!$C$65;2);PANGKAT(Normalisasi!$L$44-Konvergensi!$D$65;2);PANGKAT(Normalisasi!$M$44-Konvergensi!$E$65;2);PANGKAT(Normalisasi!$N$44-Konvergensi!$F$65;2);PANGKAT(Normalisasi!$O$44-Konvergensi!$G$65;2);PANGKAT(Normalisasi!$P$44-Konvergensi!$H$65;2));0);JIKA(F53=2;JUMLAH(PANGKAT(Normalisasi!$J$44-Konvergensi!$B$66;2);PANGKAT(Normalisasi!$K$44-Konvergensi!$C$66;2);PANGKAT(Normalisasi!$L$44-Konvergensi!$D$66;2);PANGKAT(Normalisasi!$M$44-Konvergensi!$E$66;2);PANGKAT(Normalisasi!$N$44-Konvergensi!$F$66;2);PANGKAT(Normalisasi!$O$44-Konvergensi!$G$66;2);PANGKAT(Normalisasi!$P$44-Konvergensi!$H$66;2));0))</f>
        <v/>
      </c>
      <c r="H53" t="n">
        <v>0</v>
      </c>
      <c r="I53" t="n">
        <v>3.792434397651963</v>
      </c>
    </row>
    <row r="54">
      <c r="A54">
        <f>Data_Awal!A45</f>
        <v/>
      </c>
      <c r="B54">
        <f>Data_Awal!B45</f>
        <v/>
      </c>
      <c r="C54">
        <f>AKAR(JUMLAH(PANGKAT(Normalisasi!$J$45-Konvergensi!$B$5;2);PANGKAT(Normalisasi!$K$45-Konvergensi!$C$5;2);PANGKAT(Normalisasi!$L$45-Konvergensi!$D$5;2);PANGKAT(Normalisasi!$M$45-Konvergensi!$E$5;2);PANGKAT(Normalisasi!$N$45-Konvergensi!$F$5;2);PANGKAT(Normalisasi!$O$45-Konvergensi!$G$5;2);PANGKAT(Normalisasi!$P$45-Konvergensi!$H$5;2)))</f>
        <v/>
      </c>
      <c r="D54">
        <f>AKAR(JUMLAH(PANGKAT(Normalisasi!$J$45-Konvergensi!$B$6;2);PANGKAT(Normalisasi!$K$45-Konvergensi!$C$6;2);PANGKAT(Normalisasi!$L$45-Konvergensi!$D$6;2);PANGKAT(Normalisasi!$M$45-Konvergensi!$E$6;2);PANGKAT(Normalisasi!$N$45-Konvergensi!$F$6;2);PANGKAT(Normalisasi!$O$45-Konvergensi!$G$6;2);PANGKAT(Normalisasi!$P$45-Konvergensi!$H$6;2)))</f>
        <v/>
      </c>
      <c r="E54">
        <f>AKAR(JUMLAH(PANGKAT(Normalisasi!$J$45-Konvergensi!$B$7;2);PANGKAT(Normalisasi!$K$45-Konvergensi!$C$7;2);PANGKAT(Normalisasi!$L$45-Konvergensi!$D$7;2);PANGKAT(Normalisasi!$M$45-Konvergensi!$E$7;2);PANGKAT(Normalisasi!$N$45-Konvergensi!$F$7;2);PANGKAT(Normalisasi!$O$45-Konvergensi!$G$7;2);PANGKAT(Normalisasi!$P$45-Konvergensi!$H$7;2)))</f>
        <v/>
      </c>
      <c r="F54">
        <f>JIKA(C54&lt;=D54;=JIKA(C54&lt;=E54;0;2);=JIKA(D54&lt;=E54;1;2))</f>
        <v/>
      </c>
      <c r="G54">
        <f>JUMLAH(JIKA(F54=0;JUMLAH(PANGKAT(Normalisasi!$J$45-Konvergensi!$B$64;2);PANGKAT(Normalisasi!$K$45-Konvergensi!$C$64;2);PANGKAT(Normalisasi!$L$45-Konvergensi!$D$64;2);PANGKAT(Normalisasi!$M$45-Konvergensi!$E$64;2);PANGKAT(Normalisasi!$N$45-Konvergensi!$F$64;2);PANGKAT(Normalisasi!$O$45-Konvergensi!$G$64;2);PANGKAT(Normalisasi!$P$45-Konvergensi!$H$64;2));0);JIKA(F54=1;JUMLAH(PANGKAT(Normalisasi!$J$45-Konvergensi!$B$65;2);PANGKAT(Normalisasi!$K$45-Konvergensi!$C$65;2);PANGKAT(Normalisasi!$L$45-Konvergensi!$D$65;2);PANGKAT(Normalisasi!$M$45-Konvergensi!$E$65;2);PANGKAT(Normalisasi!$N$45-Konvergensi!$F$65;2);PANGKAT(Normalisasi!$O$45-Konvergensi!$G$65;2);PANGKAT(Normalisasi!$P$45-Konvergensi!$H$65;2));0);JIKA(F54=2;JUMLAH(PANGKAT(Normalisasi!$J$45-Konvergensi!$B$66;2);PANGKAT(Normalisasi!$K$45-Konvergensi!$C$66;2);PANGKAT(Normalisasi!$L$45-Konvergensi!$D$66;2);PANGKAT(Normalisasi!$M$45-Konvergensi!$E$66;2);PANGKAT(Normalisasi!$N$45-Konvergensi!$F$66;2);PANGKAT(Normalisasi!$O$45-Konvergensi!$G$66;2);PANGKAT(Normalisasi!$P$45-Konvergensi!$H$66;2));0))</f>
        <v/>
      </c>
      <c r="H54" t="n">
        <v>0</v>
      </c>
      <c r="I54" t="n">
        <v>7.435248385028594</v>
      </c>
    </row>
    <row r="55">
      <c r="A55">
        <f>Data_Awal!A46</f>
        <v/>
      </c>
      <c r="B55">
        <f>Data_Awal!B46</f>
        <v/>
      </c>
      <c r="C55">
        <f>AKAR(JUMLAH(PANGKAT(Normalisasi!$J$46-Konvergensi!$B$5;2);PANGKAT(Normalisasi!$K$46-Konvergensi!$C$5;2);PANGKAT(Normalisasi!$L$46-Konvergensi!$D$5;2);PANGKAT(Normalisasi!$M$46-Konvergensi!$E$5;2);PANGKAT(Normalisasi!$N$46-Konvergensi!$F$5;2);PANGKAT(Normalisasi!$O$46-Konvergensi!$G$5;2);PANGKAT(Normalisasi!$P$46-Konvergensi!$H$5;2)))</f>
        <v/>
      </c>
      <c r="D55">
        <f>AKAR(JUMLAH(PANGKAT(Normalisasi!$J$46-Konvergensi!$B$6;2);PANGKAT(Normalisasi!$K$46-Konvergensi!$C$6;2);PANGKAT(Normalisasi!$L$46-Konvergensi!$D$6;2);PANGKAT(Normalisasi!$M$46-Konvergensi!$E$6;2);PANGKAT(Normalisasi!$N$46-Konvergensi!$F$6;2);PANGKAT(Normalisasi!$O$46-Konvergensi!$G$6;2);PANGKAT(Normalisasi!$P$46-Konvergensi!$H$6;2)))</f>
        <v/>
      </c>
      <c r="E55">
        <f>AKAR(JUMLAH(PANGKAT(Normalisasi!$J$46-Konvergensi!$B$7;2);PANGKAT(Normalisasi!$K$46-Konvergensi!$C$7;2);PANGKAT(Normalisasi!$L$46-Konvergensi!$D$7;2);PANGKAT(Normalisasi!$M$46-Konvergensi!$E$7;2);PANGKAT(Normalisasi!$N$46-Konvergensi!$F$7;2);PANGKAT(Normalisasi!$O$46-Konvergensi!$G$7;2);PANGKAT(Normalisasi!$P$46-Konvergensi!$H$7;2)))</f>
        <v/>
      </c>
      <c r="F55">
        <f>JIKA(C55&lt;=D55;=JIKA(C55&lt;=E55;0;2);=JIKA(D55&lt;=E55;1;2))</f>
        <v/>
      </c>
      <c r="G55">
        <f>JUMLAH(JIKA(F55=0;JUMLAH(PANGKAT(Normalisasi!$J$46-Konvergensi!$B$64;2);PANGKAT(Normalisasi!$K$46-Konvergensi!$C$64;2);PANGKAT(Normalisasi!$L$46-Konvergensi!$D$64;2);PANGKAT(Normalisasi!$M$46-Konvergensi!$E$64;2);PANGKAT(Normalisasi!$N$46-Konvergensi!$F$64;2);PANGKAT(Normalisasi!$O$46-Konvergensi!$G$64;2);PANGKAT(Normalisasi!$P$46-Konvergensi!$H$64;2));0);JIKA(F55=1;JUMLAH(PANGKAT(Normalisasi!$J$46-Konvergensi!$B$65;2);PANGKAT(Normalisasi!$K$46-Konvergensi!$C$65;2);PANGKAT(Normalisasi!$L$46-Konvergensi!$D$65;2);PANGKAT(Normalisasi!$M$46-Konvergensi!$E$65;2);PANGKAT(Normalisasi!$N$46-Konvergensi!$F$65;2);PANGKAT(Normalisasi!$O$46-Konvergensi!$G$65;2);PANGKAT(Normalisasi!$P$46-Konvergensi!$H$65;2));0);JIKA(F55=2;JUMLAH(PANGKAT(Normalisasi!$J$46-Konvergensi!$B$66;2);PANGKAT(Normalisasi!$K$46-Konvergensi!$C$66;2);PANGKAT(Normalisasi!$L$46-Konvergensi!$D$66;2);PANGKAT(Normalisasi!$M$46-Konvergensi!$E$66;2);PANGKAT(Normalisasi!$N$46-Konvergensi!$F$66;2);PANGKAT(Normalisasi!$O$46-Konvergensi!$G$66;2);PANGKAT(Normalisasi!$P$46-Konvergensi!$H$66;2));0))</f>
        <v/>
      </c>
      <c r="H55" t="n">
        <v>2</v>
      </c>
      <c r="I55" t="n">
        <v>4.526114993253898</v>
      </c>
    </row>
    <row r="56">
      <c r="A56">
        <f>Data_Awal!A47</f>
        <v/>
      </c>
      <c r="B56">
        <f>Data_Awal!B47</f>
        <v/>
      </c>
      <c r="C56">
        <f>AKAR(JUMLAH(PANGKAT(Normalisasi!$J$47-Konvergensi!$B$5;2);PANGKAT(Normalisasi!$K$47-Konvergensi!$C$5;2);PANGKAT(Normalisasi!$L$47-Konvergensi!$D$5;2);PANGKAT(Normalisasi!$M$47-Konvergensi!$E$5;2);PANGKAT(Normalisasi!$N$47-Konvergensi!$F$5;2);PANGKAT(Normalisasi!$O$47-Konvergensi!$G$5;2);PANGKAT(Normalisasi!$P$47-Konvergensi!$H$5;2)))</f>
        <v/>
      </c>
      <c r="D56">
        <f>AKAR(JUMLAH(PANGKAT(Normalisasi!$J$47-Konvergensi!$B$6;2);PANGKAT(Normalisasi!$K$47-Konvergensi!$C$6;2);PANGKAT(Normalisasi!$L$47-Konvergensi!$D$6;2);PANGKAT(Normalisasi!$M$47-Konvergensi!$E$6;2);PANGKAT(Normalisasi!$N$47-Konvergensi!$F$6;2);PANGKAT(Normalisasi!$O$47-Konvergensi!$G$6;2);PANGKAT(Normalisasi!$P$47-Konvergensi!$H$6;2)))</f>
        <v/>
      </c>
      <c r="E56">
        <f>AKAR(JUMLAH(PANGKAT(Normalisasi!$J$47-Konvergensi!$B$7;2);PANGKAT(Normalisasi!$K$47-Konvergensi!$C$7;2);PANGKAT(Normalisasi!$L$47-Konvergensi!$D$7;2);PANGKAT(Normalisasi!$M$47-Konvergensi!$E$7;2);PANGKAT(Normalisasi!$N$47-Konvergensi!$F$7;2);PANGKAT(Normalisasi!$O$47-Konvergensi!$G$7;2);PANGKAT(Normalisasi!$P$47-Konvergensi!$H$7;2)))</f>
        <v/>
      </c>
      <c r="F56">
        <f>JIKA(C56&lt;=D56;=JIKA(C56&lt;=E56;0;2);=JIKA(D56&lt;=E56;1;2))</f>
        <v/>
      </c>
      <c r="G56">
        <f>JUMLAH(JIKA(F56=0;JUMLAH(PANGKAT(Normalisasi!$J$47-Konvergensi!$B$64;2);PANGKAT(Normalisasi!$K$47-Konvergensi!$C$64;2);PANGKAT(Normalisasi!$L$47-Konvergensi!$D$64;2);PANGKAT(Normalisasi!$M$47-Konvergensi!$E$64;2);PANGKAT(Normalisasi!$N$47-Konvergensi!$F$64;2);PANGKAT(Normalisasi!$O$47-Konvergensi!$G$64;2);PANGKAT(Normalisasi!$P$47-Konvergensi!$H$64;2));0);JIKA(F56=1;JUMLAH(PANGKAT(Normalisasi!$J$47-Konvergensi!$B$65;2);PANGKAT(Normalisasi!$K$47-Konvergensi!$C$65;2);PANGKAT(Normalisasi!$L$47-Konvergensi!$D$65;2);PANGKAT(Normalisasi!$M$47-Konvergensi!$E$65;2);PANGKAT(Normalisasi!$N$47-Konvergensi!$F$65;2);PANGKAT(Normalisasi!$O$47-Konvergensi!$G$65;2);PANGKAT(Normalisasi!$P$47-Konvergensi!$H$65;2));0);JIKA(F56=2;JUMLAH(PANGKAT(Normalisasi!$J$47-Konvergensi!$B$66;2);PANGKAT(Normalisasi!$K$47-Konvergensi!$C$66;2);PANGKAT(Normalisasi!$L$47-Konvergensi!$D$66;2);PANGKAT(Normalisasi!$M$47-Konvergensi!$E$66;2);PANGKAT(Normalisasi!$N$47-Konvergensi!$F$66;2);PANGKAT(Normalisasi!$O$47-Konvergensi!$G$66;2);PANGKAT(Normalisasi!$P$47-Konvergensi!$H$66;2));0))</f>
        <v/>
      </c>
      <c r="H56" t="n">
        <v>2</v>
      </c>
      <c r="I56" t="n">
        <v>1.652721653156979</v>
      </c>
    </row>
    <row r="57">
      <c r="A57">
        <f>Data_Awal!A48</f>
        <v/>
      </c>
      <c r="B57">
        <f>Data_Awal!B48</f>
        <v/>
      </c>
      <c r="C57">
        <f>AKAR(JUMLAH(PANGKAT(Normalisasi!$J$48-Konvergensi!$B$5;2);PANGKAT(Normalisasi!$K$48-Konvergensi!$C$5;2);PANGKAT(Normalisasi!$L$48-Konvergensi!$D$5;2);PANGKAT(Normalisasi!$M$48-Konvergensi!$E$5;2);PANGKAT(Normalisasi!$N$48-Konvergensi!$F$5;2);PANGKAT(Normalisasi!$O$48-Konvergensi!$G$5;2);PANGKAT(Normalisasi!$P$48-Konvergensi!$H$5;2)))</f>
        <v/>
      </c>
      <c r="D57">
        <f>AKAR(JUMLAH(PANGKAT(Normalisasi!$J$48-Konvergensi!$B$6;2);PANGKAT(Normalisasi!$K$48-Konvergensi!$C$6;2);PANGKAT(Normalisasi!$L$48-Konvergensi!$D$6;2);PANGKAT(Normalisasi!$M$48-Konvergensi!$E$6;2);PANGKAT(Normalisasi!$N$48-Konvergensi!$F$6;2);PANGKAT(Normalisasi!$O$48-Konvergensi!$G$6;2);PANGKAT(Normalisasi!$P$48-Konvergensi!$H$6;2)))</f>
        <v/>
      </c>
      <c r="E57">
        <f>AKAR(JUMLAH(PANGKAT(Normalisasi!$J$48-Konvergensi!$B$7;2);PANGKAT(Normalisasi!$K$48-Konvergensi!$C$7;2);PANGKAT(Normalisasi!$L$48-Konvergensi!$D$7;2);PANGKAT(Normalisasi!$M$48-Konvergensi!$E$7;2);PANGKAT(Normalisasi!$N$48-Konvergensi!$F$7;2);PANGKAT(Normalisasi!$O$48-Konvergensi!$G$7;2);PANGKAT(Normalisasi!$P$48-Konvergensi!$H$7;2)))</f>
        <v/>
      </c>
      <c r="F57">
        <f>JIKA(C57&lt;=D57;=JIKA(C57&lt;=E57;0;2);=JIKA(D57&lt;=E57;1;2))</f>
        <v/>
      </c>
      <c r="G57">
        <f>JUMLAH(JIKA(F57=0;JUMLAH(PANGKAT(Normalisasi!$J$48-Konvergensi!$B$64;2);PANGKAT(Normalisasi!$K$48-Konvergensi!$C$64;2);PANGKAT(Normalisasi!$L$48-Konvergensi!$D$64;2);PANGKAT(Normalisasi!$M$48-Konvergensi!$E$64;2);PANGKAT(Normalisasi!$N$48-Konvergensi!$F$64;2);PANGKAT(Normalisasi!$O$48-Konvergensi!$G$64;2);PANGKAT(Normalisasi!$P$48-Konvergensi!$H$64;2));0);JIKA(F57=1;JUMLAH(PANGKAT(Normalisasi!$J$48-Konvergensi!$B$65;2);PANGKAT(Normalisasi!$K$48-Konvergensi!$C$65;2);PANGKAT(Normalisasi!$L$48-Konvergensi!$D$65;2);PANGKAT(Normalisasi!$M$48-Konvergensi!$E$65;2);PANGKAT(Normalisasi!$N$48-Konvergensi!$F$65;2);PANGKAT(Normalisasi!$O$48-Konvergensi!$G$65;2);PANGKAT(Normalisasi!$P$48-Konvergensi!$H$65;2));0);JIKA(F57=2;JUMLAH(PANGKAT(Normalisasi!$J$48-Konvergensi!$B$66;2);PANGKAT(Normalisasi!$K$48-Konvergensi!$C$66;2);PANGKAT(Normalisasi!$L$48-Konvergensi!$D$66;2);PANGKAT(Normalisasi!$M$48-Konvergensi!$E$66;2);PANGKAT(Normalisasi!$N$48-Konvergensi!$F$66;2);PANGKAT(Normalisasi!$O$48-Konvergensi!$G$66;2);PANGKAT(Normalisasi!$P$48-Konvergensi!$H$66;2));0))</f>
        <v/>
      </c>
      <c r="H57" t="n">
        <v>1</v>
      </c>
      <c r="I57" t="n">
        <v>2.121513774857354</v>
      </c>
    </row>
    <row r="58">
      <c r="A58">
        <f>Data_Awal!A49</f>
        <v/>
      </c>
      <c r="B58">
        <f>Data_Awal!B49</f>
        <v/>
      </c>
      <c r="C58">
        <f>AKAR(JUMLAH(PANGKAT(Normalisasi!$J$49-Konvergensi!$B$5;2);PANGKAT(Normalisasi!$K$49-Konvergensi!$C$5;2);PANGKAT(Normalisasi!$L$49-Konvergensi!$D$5;2);PANGKAT(Normalisasi!$M$49-Konvergensi!$E$5;2);PANGKAT(Normalisasi!$N$49-Konvergensi!$F$5;2);PANGKAT(Normalisasi!$O$49-Konvergensi!$G$5;2);PANGKAT(Normalisasi!$P$49-Konvergensi!$H$5;2)))</f>
        <v/>
      </c>
      <c r="D58">
        <f>AKAR(JUMLAH(PANGKAT(Normalisasi!$J$49-Konvergensi!$B$6;2);PANGKAT(Normalisasi!$K$49-Konvergensi!$C$6;2);PANGKAT(Normalisasi!$L$49-Konvergensi!$D$6;2);PANGKAT(Normalisasi!$M$49-Konvergensi!$E$6;2);PANGKAT(Normalisasi!$N$49-Konvergensi!$F$6;2);PANGKAT(Normalisasi!$O$49-Konvergensi!$G$6;2);PANGKAT(Normalisasi!$P$49-Konvergensi!$H$6;2)))</f>
        <v/>
      </c>
      <c r="E58">
        <f>AKAR(JUMLAH(PANGKAT(Normalisasi!$J$49-Konvergensi!$B$7;2);PANGKAT(Normalisasi!$K$49-Konvergensi!$C$7;2);PANGKAT(Normalisasi!$L$49-Konvergensi!$D$7;2);PANGKAT(Normalisasi!$M$49-Konvergensi!$E$7;2);PANGKAT(Normalisasi!$N$49-Konvergensi!$F$7;2);PANGKAT(Normalisasi!$O$49-Konvergensi!$G$7;2);PANGKAT(Normalisasi!$P$49-Konvergensi!$H$7;2)))</f>
        <v/>
      </c>
      <c r="F58">
        <f>JIKA(C58&lt;=D58;=JIKA(C58&lt;=E58;0;2);=JIKA(D58&lt;=E58;1;2))</f>
        <v/>
      </c>
      <c r="G58">
        <f>JUMLAH(JIKA(F58=0;JUMLAH(PANGKAT(Normalisasi!$J$49-Konvergensi!$B$64;2);PANGKAT(Normalisasi!$K$49-Konvergensi!$C$64;2);PANGKAT(Normalisasi!$L$49-Konvergensi!$D$64;2);PANGKAT(Normalisasi!$M$49-Konvergensi!$E$64;2);PANGKAT(Normalisasi!$N$49-Konvergensi!$F$64;2);PANGKAT(Normalisasi!$O$49-Konvergensi!$G$64;2);PANGKAT(Normalisasi!$P$49-Konvergensi!$H$64;2));0);JIKA(F58=1;JUMLAH(PANGKAT(Normalisasi!$J$49-Konvergensi!$B$65;2);PANGKAT(Normalisasi!$K$49-Konvergensi!$C$65;2);PANGKAT(Normalisasi!$L$49-Konvergensi!$D$65;2);PANGKAT(Normalisasi!$M$49-Konvergensi!$E$65;2);PANGKAT(Normalisasi!$N$49-Konvergensi!$F$65;2);PANGKAT(Normalisasi!$O$49-Konvergensi!$G$65;2);PANGKAT(Normalisasi!$P$49-Konvergensi!$H$65;2));0);JIKA(F58=2;JUMLAH(PANGKAT(Normalisasi!$J$49-Konvergensi!$B$66;2);PANGKAT(Normalisasi!$K$49-Konvergensi!$C$66;2);PANGKAT(Normalisasi!$L$49-Konvergensi!$D$66;2);PANGKAT(Normalisasi!$M$49-Konvergensi!$E$66;2);PANGKAT(Normalisasi!$N$49-Konvergensi!$F$66;2);PANGKAT(Normalisasi!$O$49-Konvergensi!$G$66;2);PANGKAT(Normalisasi!$P$49-Konvergensi!$H$66;2));0))</f>
        <v/>
      </c>
      <c r="H58" t="n">
        <v>0</v>
      </c>
      <c r="I58" t="n">
        <v>3.090548025314579</v>
      </c>
    </row>
    <row r="59">
      <c r="A59">
        <f>Data_Awal!A50</f>
        <v/>
      </c>
      <c r="B59">
        <f>Data_Awal!B50</f>
        <v/>
      </c>
      <c r="C59">
        <f>AKAR(JUMLAH(PANGKAT(Normalisasi!$J$50-Konvergensi!$B$5;2);PANGKAT(Normalisasi!$K$50-Konvergensi!$C$5;2);PANGKAT(Normalisasi!$L$50-Konvergensi!$D$5;2);PANGKAT(Normalisasi!$M$50-Konvergensi!$E$5;2);PANGKAT(Normalisasi!$N$50-Konvergensi!$F$5;2);PANGKAT(Normalisasi!$O$50-Konvergensi!$G$5;2);PANGKAT(Normalisasi!$P$50-Konvergensi!$H$5;2)))</f>
        <v/>
      </c>
      <c r="D59">
        <f>AKAR(JUMLAH(PANGKAT(Normalisasi!$J$50-Konvergensi!$B$6;2);PANGKAT(Normalisasi!$K$50-Konvergensi!$C$6;2);PANGKAT(Normalisasi!$L$50-Konvergensi!$D$6;2);PANGKAT(Normalisasi!$M$50-Konvergensi!$E$6;2);PANGKAT(Normalisasi!$N$50-Konvergensi!$F$6;2);PANGKAT(Normalisasi!$O$50-Konvergensi!$G$6;2);PANGKAT(Normalisasi!$P$50-Konvergensi!$H$6;2)))</f>
        <v/>
      </c>
      <c r="E59">
        <f>AKAR(JUMLAH(PANGKAT(Normalisasi!$J$50-Konvergensi!$B$7;2);PANGKAT(Normalisasi!$K$50-Konvergensi!$C$7;2);PANGKAT(Normalisasi!$L$50-Konvergensi!$D$7;2);PANGKAT(Normalisasi!$M$50-Konvergensi!$E$7;2);PANGKAT(Normalisasi!$N$50-Konvergensi!$F$7;2);PANGKAT(Normalisasi!$O$50-Konvergensi!$G$7;2);PANGKAT(Normalisasi!$P$50-Konvergensi!$H$7;2)))</f>
        <v/>
      </c>
      <c r="F59">
        <f>JIKA(C59&lt;=D59;=JIKA(C59&lt;=E59;0;2);=JIKA(D59&lt;=E59;1;2))</f>
        <v/>
      </c>
      <c r="G59">
        <f>JUMLAH(JIKA(F59=0;JUMLAH(PANGKAT(Normalisasi!$J$50-Konvergensi!$B$64;2);PANGKAT(Normalisasi!$K$50-Konvergensi!$C$64;2);PANGKAT(Normalisasi!$L$50-Konvergensi!$D$64;2);PANGKAT(Normalisasi!$M$50-Konvergensi!$E$64;2);PANGKAT(Normalisasi!$N$50-Konvergensi!$F$64;2);PANGKAT(Normalisasi!$O$50-Konvergensi!$G$64;2);PANGKAT(Normalisasi!$P$50-Konvergensi!$H$64;2));0);JIKA(F59=1;JUMLAH(PANGKAT(Normalisasi!$J$50-Konvergensi!$B$65;2);PANGKAT(Normalisasi!$K$50-Konvergensi!$C$65;2);PANGKAT(Normalisasi!$L$50-Konvergensi!$D$65;2);PANGKAT(Normalisasi!$M$50-Konvergensi!$E$65;2);PANGKAT(Normalisasi!$N$50-Konvergensi!$F$65;2);PANGKAT(Normalisasi!$O$50-Konvergensi!$G$65;2);PANGKAT(Normalisasi!$P$50-Konvergensi!$H$65;2));0);JIKA(F59=2;JUMLAH(PANGKAT(Normalisasi!$J$50-Konvergensi!$B$66;2);PANGKAT(Normalisasi!$K$50-Konvergensi!$C$66;2);PANGKAT(Normalisasi!$L$50-Konvergensi!$D$66;2);PANGKAT(Normalisasi!$M$50-Konvergensi!$E$66;2);PANGKAT(Normalisasi!$N$50-Konvergensi!$F$66;2);PANGKAT(Normalisasi!$O$50-Konvergensi!$G$66;2);PANGKAT(Normalisasi!$P$50-Konvergensi!$H$66;2));0))</f>
        <v/>
      </c>
      <c r="H59" t="n">
        <v>0</v>
      </c>
      <c r="I59" t="n">
        <v>4.284427649965187</v>
      </c>
    </row>
    <row r="60">
      <c r="A60">
        <f>Data_Awal!A51</f>
        <v/>
      </c>
      <c r="B60">
        <f>Data_Awal!B51</f>
        <v/>
      </c>
      <c r="C60">
        <f>AKAR(JUMLAH(PANGKAT(Normalisasi!$J$51-Konvergensi!$B$5;2);PANGKAT(Normalisasi!$K$51-Konvergensi!$C$5;2);PANGKAT(Normalisasi!$L$51-Konvergensi!$D$5;2);PANGKAT(Normalisasi!$M$51-Konvergensi!$E$5;2);PANGKAT(Normalisasi!$N$51-Konvergensi!$F$5;2);PANGKAT(Normalisasi!$O$51-Konvergensi!$G$5;2);PANGKAT(Normalisasi!$P$51-Konvergensi!$H$5;2)))</f>
        <v/>
      </c>
      <c r="D60">
        <f>AKAR(JUMLAH(PANGKAT(Normalisasi!$J$51-Konvergensi!$B$6;2);PANGKAT(Normalisasi!$K$51-Konvergensi!$C$6;2);PANGKAT(Normalisasi!$L$51-Konvergensi!$D$6;2);PANGKAT(Normalisasi!$M$51-Konvergensi!$E$6;2);PANGKAT(Normalisasi!$N$51-Konvergensi!$F$6;2);PANGKAT(Normalisasi!$O$51-Konvergensi!$G$6;2);PANGKAT(Normalisasi!$P$51-Konvergensi!$H$6;2)))</f>
        <v/>
      </c>
      <c r="E60">
        <f>AKAR(JUMLAH(PANGKAT(Normalisasi!$J$51-Konvergensi!$B$7;2);PANGKAT(Normalisasi!$K$51-Konvergensi!$C$7;2);PANGKAT(Normalisasi!$L$51-Konvergensi!$D$7;2);PANGKAT(Normalisasi!$M$51-Konvergensi!$E$7;2);PANGKAT(Normalisasi!$N$51-Konvergensi!$F$7;2);PANGKAT(Normalisasi!$O$51-Konvergensi!$G$7;2);PANGKAT(Normalisasi!$P$51-Konvergensi!$H$7;2)))</f>
        <v/>
      </c>
      <c r="F60">
        <f>JIKA(C60&lt;=D60;=JIKA(C60&lt;=E60;0;2);=JIKA(D60&lt;=E60;1;2))</f>
        <v/>
      </c>
      <c r="G60">
        <f>JUMLAH(JIKA(F60=0;JUMLAH(PANGKAT(Normalisasi!$J$51-Konvergensi!$B$64;2);PANGKAT(Normalisasi!$K$51-Konvergensi!$C$64;2);PANGKAT(Normalisasi!$L$51-Konvergensi!$D$64;2);PANGKAT(Normalisasi!$M$51-Konvergensi!$E$64;2);PANGKAT(Normalisasi!$N$51-Konvergensi!$F$64;2);PANGKAT(Normalisasi!$O$51-Konvergensi!$G$64;2);PANGKAT(Normalisasi!$P$51-Konvergensi!$H$64;2));0);JIKA(F60=1;JUMLAH(PANGKAT(Normalisasi!$J$51-Konvergensi!$B$65;2);PANGKAT(Normalisasi!$K$51-Konvergensi!$C$65;2);PANGKAT(Normalisasi!$L$51-Konvergensi!$D$65;2);PANGKAT(Normalisasi!$M$51-Konvergensi!$E$65;2);PANGKAT(Normalisasi!$N$51-Konvergensi!$F$65;2);PANGKAT(Normalisasi!$O$51-Konvergensi!$G$65;2);PANGKAT(Normalisasi!$P$51-Konvergensi!$H$65;2));0);JIKA(F60=2;JUMLAH(PANGKAT(Normalisasi!$J$51-Konvergensi!$B$66;2);PANGKAT(Normalisasi!$K$51-Konvergensi!$C$66;2);PANGKAT(Normalisasi!$L$51-Konvergensi!$D$66;2);PANGKAT(Normalisasi!$M$51-Konvergensi!$E$66;2);PANGKAT(Normalisasi!$N$51-Konvergensi!$F$66;2);PANGKAT(Normalisasi!$O$51-Konvergensi!$G$66;2);PANGKAT(Normalisasi!$P$51-Konvergensi!$H$66;2));0))</f>
        <v/>
      </c>
      <c r="H60" t="n">
        <v>0</v>
      </c>
      <c r="I60" t="n">
        <v>4.631336851039096</v>
      </c>
    </row>
    <row r="62">
      <c r="A62" s="4" t="inlineStr">
        <is>
          <t>Centroid baru setelah iter 1</t>
        </is>
      </c>
    </row>
    <row r="63">
      <c r="A63" t="inlineStr">
        <is>
          <t>Cluster</t>
        </is>
      </c>
      <c r="B63" s="1" t="inlineStr">
        <is>
          <t>Z Latitude</t>
        </is>
      </c>
      <c r="C63" s="1" t="inlineStr">
        <is>
          <t>Z Longitude</t>
        </is>
      </c>
      <c r="D63" s="1" t="inlineStr">
        <is>
          <t>Z Semantic Score</t>
        </is>
      </c>
      <c r="E63" s="1" t="inlineStr">
        <is>
          <t>Z Jarak Hotel (m)</t>
        </is>
      </c>
      <c r="F63" s="1" t="inlineStr">
        <is>
          <t>Z Jarak Halte (m)</t>
        </is>
      </c>
      <c r="G63" s="1" t="inlineStr">
        <is>
          <t>Z Restoran 500m</t>
        </is>
      </c>
      <c r="H63" s="1" t="inlineStr">
        <is>
          <t>Z Minimarket 500m</t>
        </is>
      </c>
    </row>
    <row r="64">
      <c r="A64" t="inlineStr">
        <is>
          <t>C0</t>
        </is>
      </c>
      <c r="B64">
        <f>RATA.RATA.JIKA($F$11:$F$60;0;Normalisasi!$J$2:$J$51)</f>
        <v/>
      </c>
      <c r="C64">
        <f>RATA.RATA.JIKA($F$11:$F$60;0;Normalisasi!$K$2:$K$51)</f>
        <v/>
      </c>
      <c r="D64">
        <f>RATA.RATA.JIKA($F$11:$F$60;0;Normalisasi!$L$2:$L$51)</f>
        <v/>
      </c>
      <c r="E64">
        <f>RATA.RATA.JIKA($F$11:$F$60;0;Normalisasi!$M$2:$M$51)</f>
        <v/>
      </c>
      <c r="F64">
        <f>RATA.RATA.JIKA($F$11:$F$60;0;Normalisasi!$N$2:$N$51)</f>
        <v/>
      </c>
      <c r="G64">
        <f>RATA.RATA.JIKA($F$11:$F$60;0;Normalisasi!$O$2:$O$51)</f>
        <v/>
      </c>
      <c r="H64">
        <f>RATA.RATA.JIKA($F$11:$F$60;0;Normalisasi!$P$2:$P$51)</f>
        <v/>
      </c>
      <c r="J64" t="n">
        <v>-0.1032774458758366</v>
      </c>
      <c r="K64" t="n">
        <v>-0.05544434519616885</v>
      </c>
      <c r="L64" t="n">
        <v>-0.1385478355295737</v>
      </c>
      <c r="M64" t="n">
        <v>-0.4714428651662915</v>
      </c>
      <c r="N64" t="n">
        <v>-0.409914919137395</v>
      </c>
      <c r="O64" t="n">
        <v>-0.2991435556576506</v>
      </c>
      <c r="P64" t="n">
        <v>0.2544630134782067</v>
      </c>
    </row>
    <row r="65">
      <c r="A65" t="inlineStr">
        <is>
          <t>C1</t>
        </is>
      </c>
      <c r="B65">
        <f>RATA.RATA.JIKA($F$11:$F$60;1;Normalisasi!$J$2:$J$51)</f>
        <v/>
      </c>
      <c r="C65">
        <f>RATA.RATA.JIKA($F$11:$F$60;1;Normalisasi!$K$2:$K$51)</f>
        <v/>
      </c>
      <c r="D65">
        <f>RATA.RATA.JIKA($F$11:$F$60;1;Normalisasi!$L$2:$L$51)</f>
        <v/>
      </c>
      <c r="E65">
        <f>RATA.RATA.JIKA($F$11:$F$60;1;Normalisasi!$M$2:$M$51)</f>
        <v/>
      </c>
      <c r="F65">
        <f>RATA.RATA.JIKA($F$11:$F$60;1;Normalisasi!$N$2:$N$51)</f>
        <v/>
      </c>
      <c r="G65">
        <f>RATA.RATA.JIKA($F$11:$F$60;1;Normalisasi!$O$2:$O$51)</f>
        <v/>
      </c>
      <c r="H65">
        <f>RATA.RATA.JIKA($F$11:$F$60;1;Normalisasi!$P$2:$P$51)</f>
        <v/>
      </c>
      <c r="J65" t="n">
        <v>-0.09523002912472814</v>
      </c>
      <c r="K65" t="n">
        <v>0.2561932266311156</v>
      </c>
      <c r="L65" t="n">
        <v>0.4140260755070116</v>
      </c>
      <c r="M65" t="n">
        <v>0.5223637328734225</v>
      </c>
      <c r="N65" t="n">
        <v>1.07442059914578</v>
      </c>
      <c r="O65" t="n">
        <v>0.2326053427193736</v>
      </c>
      <c r="P65" t="n">
        <v>-0.8824235593445929</v>
      </c>
    </row>
    <row r="66">
      <c r="A66" t="inlineStr">
        <is>
          <t>C2</t>
        </is>
      </c>
      <c r="B66">
        <f>RATA.RATA.JIKA($F$11:$F$60;2;Normalisasi!$J$2:$J$51)</f>
        <v/>
      </c>
      <c r="C66">
        <f>RATA.RATA.JIKA($F$11:$F$60;2;Normalisasi!$K$2:$K$51)</f>
        <v/>
      </c>
      <c r="D66">
        <f>RATA.RATA.JIKA($F$11:$F$60;2;Normalisasi!$L$2:$L$51)</f>
        <v/>
      </c>
      <c r="E66">
        <f>RATA.RATA.JIKA($F$11:$F$60;2;Normalisasi!$M$2:$M$51)</f>
        <v/>
      </c>
      <c r="F66">
        <f>RATA.RATA.JIKA($F$11:$F$60;2;Normalisasi!$N$2:$N$51)</f>
        <v/>
      </c>
      <c r="G66">
        <f>RATA.RATA.JIKA($F$11:$F$60;2;Normalisasi!$O$2:$O$51)</f>
        <v/>
      </c>
      <c r="H66">
        <f>RATA.RATA.JIKA($F$11:$F$60;2;Normalisasi!$P$2:$P$51)</f>
        <v/>
      </c>
      <c r="J66" t="n">
        <v>0.7385906306702982</v>
      </c>
      <c r="K66" t="n">
        <v>-0.3205624694908828</v>
      </c>
      <c r="L66" t="n">
        <v>-0.2733216652018314</v>
      </c>
      <c r="M66" t="n">
        <v>1.138365615793471</v>
      </c>
      <c r="N66" t="n">
        <v>-0.4574068023198468</v>
      </c>
      <c r="O66" t="n">
        <v>0.9529719786097139</v>
      </c>
      <c r="P66" t="n">
        <v>0.786673237746351</v>
      </c>
    </row>
    <row r="68">
      <c r="A68" t="inlineStr">
        <is>
          <t>Total WCSS (Excel)</t>
        </is>
      </c>
      <c r="B68">
        <f>JUMLAH($G$11:$G$60)</f>
        <v/>
      </c>
    </row>
    <row r="69">
      <c r="A69" t="inlineStr">
        <is>
          <t>Total WCSS (Python)</t>
        </is>
      </c>
      <c r="B69" t="n">
        <v>275.0596062502981</v>
      </c>
    </row>
    <row r="70">
      <c r="A70" t="inlineStr">
        <is>
          <t>Selisih WCSS</t>
        </is>
      </c>
      <c r="B70">
        <f>ABS(B68-B69)</f>
        <v/>
      </c>
    </row>
    <row r="71">
      <c r="A71" t="inlineStr">
        <is>
          <t>Label berubah?</t>
        </is>
      </c>
      <c r="B71" t="inlineStr">
        <is>
          <t>Ya (iter-1)</t>
        </is>
      </c>
    </row>
    <row r="72">
      <c r="A72" t="inlineStr">
        <is>
          <t>Max shift centroid</t>
        </is>
      </c>
      <c r="B72" t="n">
        <v>1.176165877647758</v>
      </c>
    </row>
    <row r="74">
      <c r="A74" s="4" t="inlineStr">
        <is>
          <t>ITER 2 — Assignment &amp; Centroid Baru</t>
        </is>
      </c>
    </row>
    <row r="75">
      <c r="A75" s="1" t="inlineStr">
        <is>
          <t>POI ID</t>
        </is>
      </c>
      <c r="B75" s="1" t="inlineStr">
        <is>
          <t>Nama</t>
        </is>
      </c>
      <c r="C75" s="1" t="inlineStr">
        <is>
          <t>d(C0)</t>
        </is>
      </c>
      <c r="D75" s="1" t="inlineStr">
        <is>
          <t>d(C1)</t>
        </is>
      </c>
      <c r="E75" s="1" t="inlineStr">
        <is>
          <t>d(C2)</t>
        </is>
      </c>
      <c r="F75" s="1" t="inlineStr">
        <is>
          <t>Cluster</t>
        </is>
      </c>
      <c r="G75" s="1" t="inlineStr">
        <is>
          <t>WCSS POI</t>
        </is>
      </c>
      <c r="H75" s="1" t="inlineStr">
        <is>
          <t>Py Cluster</t>
        </is>
      </c>
      <c r="I75" s="1" t="inlineStr">
        <is>
          <t>Py WCSS</t>
        </is>
      </c>
    </row>
    <row r="76">
      <c r="A76">
        <f>Data_Awal!A2</f>
        <v/>
      </c>
      <c r="B76">
        <f>Data_Awal!B2</f>
        <v/>
      </c>
      <c r="C76">
        <f>AKAR(JUMLAH(PANGKAT(Normalisasi!$J$2-Konvergensi!$B$64;2);PANGKAT(Normalisasi!$K$2-Konvergensi!$C$64;2);PANGKAT(Normalisasi!$L$2-Konvergensi!$D$64;2);PANGKAT(Normalisasi!$M$2-Konvergensi!$E$64;2);PANGKAT(Normalisasi!$N$2-Konvergensi!$F$64;2);PANGKAT(Normalisasi!$O$2-Konvergensi!$G$64;2);PANGKAT(Normalisasi!$P$2-Konvergensi!$H$64;2)))</f>
        <v/>
      </c>
      <c r="D76">
        <f>AKAR(JUMLAH(PANGKAT(Normalisasi!$J$2-Konvergensi!$B$65;2);PANGKAT(Normalisasi!$K$2-Konvergensi!$C$65;2);PANGKAT(Normalisasi!$L$2-Konvergensi!$D$65;2);PANGKAT(Normalisasi!$M$2-Konvergensi!$E$65;2);PANGKAT(Normalisasi!$N$2-Konvergensi!$F$65;2);PANGKAT(Normalisasi!$O$2-Konvergensi!$G$65;2);PANGKAT(Normalisasi!$P$2-Konvergensi!$H$65;2)))</f>
        <v/>
      </c>
      <c r="E76">
        <f>AKAR(JUMLAH(PANGKAT(Normalisasi!$J$2-Konvergensi!$B$66;2);PANGKAT(Normalisasi!$K$2-Konvergensi!$C$66;2);PANGKAT(Normalisasi!$L$2-Konvergensi!$D$66;2);PANGKAT(Normalisasi!$M$2-Konvergensi!$E$66;2);PANGKAT(Normalisasi!$N$2-Konvergensi!$F$66;2);PANGKAT(Normalisasi!$O$2-Konvergensi!$G$66;2);PANGKAT(Normalisasi!$P$2-Konvergensi!$H$66;2)))</f>
        <v/>
      </c>
      <c r="F76">
        <f>JIKA(C76&lt;=D76;=JIKA(C76&lt;=E76;0;2);=JIKA(D76&lt;=E76;1;2))</f>
        <v/>
      </c>
      <c r="G76">
        <f>JUMLAH(JIKA(F76=0;JUMLAH(PANGKAT(Normalisasi!$J$2-Konvergensi!$B$129;2);PANGKAT(Normalisasi!$K$2-Konvergensi!$C$129;2);PANGKAT(Normalisasi!$L$2-Konvergensi!$D$129;2);PANGKAT(Normalisasi!$M$2-Konvergensi!$E$129;2);PANGKAT(Normalisasi!$N$2-Konvergensi!$F$129;2);PANGKAT(Normalisasi!$O$2-Konvergensi!$G$129;2);PANGKAT(Normalisasi!$P$2-Konvergensi!$H$129;2));0);JIKA(F76=1;JUMLAH(PANGKAT(Normalisasi!$J$2-Konvergensi!$B$130;2);PANGKAT(Normalisasi!$K$2-Konvergensi!$C$130;2);PANGKAT(Normalisasi!$L$2-Konvergensi!$D$130;2);PANGKAT(Normalisasi!$M$2-Konvergensi!$E$130;2);PANGKAT(Normalisasi!$N$2-Konvergensi!$F$130;2);PANGKAT(Normalisasi!$O$2-Konvergensi!$G$130;2);PANGKAT(Normalisasi!$P$2-Konvergensi!$H$130;2));0);JIKA(F76=2;JUMLAH(PANGKAT(Normalisasi!$J$2-Konvergensi!$B$131;2);PANGKAT(Normalisasi!$K$2-Konvergensi!$C$131;2);PANGKAT(Normalisasi!$L$2-Konvergensi!$D$131;2);PANGKAT(Normalisasi!$M$2-Konvergensi!$E$131;2);PANGKAT(Normalisasi!$N$2-Konvergensi!$F$131;2);PANGKAT(Normalisasi!$O$2-Konvergensi!$G$131;2);PANGKAT(Normalisasi!$P$2-Konvergensi!$H$131;2));0))</f>
        <v/>
      </c>
      <c r="H76" t="n">
        <v>0</v>
      </c>
      <c r="I76" t="n">
        <v>6.588518658508972</v>
      </c>
    </row>
    <row r="77">
      <c r="A77">
        <f>Data_Awal!A3</f>
        <v/>
      </c>
      <c r="B77">
        <f>Data_Awal!B3</f>
        <v/>
      </c>
      <c r="C77">
        <f>AKAR(JUMLAH(PANGKAT(Normalisasi!$J$3-Konvergensi!$B$64;2);PANGKAT(Normalisasi!$K$3-Konvergensi!$C$64;2);PANGKAT(Normalisasi!$L$3-Konvergensi!$D$64;2);PANGKAT(Normalisasi!$M$3-Konvergensi!$E$64;2);PANGKAT(Normalisasi!$N$3-Konvergensi!$F$64;2);PANGKAT(Normalisasi!$O$3-Konvergensi!$G$64;2);PANGKAT(Normalisasi!$P$3-Konvergensi!$H$64;2)))</f>
        <v/>
      </c>
      <c r="D77">
        <f>AKAR(JUMLAH(PANGKAT(Normalisasi!$J$3-Konvergensi!$B$65;2);PANGKAT(Normalisasi!$K$3-Konvergensi!$C$65;2);PANGKAT(Normalisasi!$L$3-Konvergensi!$D$65;2);PANGKAT(Normalisasi!$M$3-Konvergensi!$E$65;2);PANGKAT(Normalisasi!$N$3-Konvergensi!$F$65;2);PANGKAT(Normalisasi!$O$3-Konvergensi!$G$65;2);PANGKAT(Normalisasi!$P$3-Konvergensi!$H$65;2)))</f>
        <v/>
      </c>
      <c r="E77">
        <f>AKAR(JUMLAH(PANGKAT(Normalisasi!$J$3-Konvergensi!$B$66;2);PANGKAT(Normalisasi!$K$3-Konvergensi!$C$66;2);PANGKAT(Normalisasi!$L$3-Konvergensi!$D$66;2);PANGKAT(Normalisasi!$M$3-Konvergensi!$E$66;2);PANGKAT(Normalisasi!$N$3-Konvergensi!$F$66;2);PANGKAT(Normalisasi!$O$3-Konvergensi!$G$66;2);PANGKAT(Normalisasi!$P$3-Konvergensi!$H$66;2)))</f>
        <v/>
      </c>
      <c r="F77">
        <f>JIKA(C77&lt;=D77;=JIKA(C77&lt;=E77;0;2);=JIKA(D77&lt;=E77;1;2))</f>
        <v/>
      </c>
      <c r="G77">
        <f>JUMLAH(JIKA(F77=0;JUMLAH(PANGKAT(Normalisasi!$J$3-Konvergensi!$B$129;2);PANGKAT(Normalisasi!$K$3-Konvergensi!$C$129;2);PANGKAT(Normalisasi!$L$3-Konvergensi!$D$129;2);PANGKAT(Normalisasi!$M$3-Konvergensi!$E$129;2);PANGKAT(Normalisasi!$N$3-Konvergensi!$F$129;2);PANGKAT(Normalisasi!$O$3-Konvergensi!$G$129;2);PANGKAT(Normalisasi!$P$3-Konvergensi!$H$129;2));0);JIKA(F77=1;JUMLAH(PANGKAT(Normalisasi!$J$3-Konvergensi!$B$130;2);PANGKAT(Normalisasi!$K$3-Konvergensi!$C$130;2);PANGKAT(Normalisasi!$L$3-Konvergensi!$D$130;2);PANGKAT(Normalisasi!$M$3-Konvergensi!$E$130;2);PANGKAT(Normalisasi!$N$3-Konvergensi!$F$130;2);PANGKAT(Normalisasi!$O$3-Konvergensi!$G$130;2);PANGKAT(Normalisasi!$P$3-Konvergensi!$H$130;2));0);JIKA(F77=2;JUMLAH(PANGKAT(Normalisasi!$J$3-Konvergensi!$B$131;2);PANGKAT(Normalisasi!$K$3-Konvergensi!$C$131;2);PANGKAT(Normalisasi!$L$3-Konvergensi!$D$131;2);PANGKAT(Normalisasi!$M$3-Konvergensi!$E$131;2);PANGKAT(Normalisasi!$N$3-Konvergensi!$F$131;2);PANGKAT(Normalisasi!$O$3-Konvergensi!$G$131;2);PANGKAT(Normalisasi!$P$3-Konvergensi!$H$131;2));0))</f>
        <v/>
      </c>
      <c r="H77" t="n">
        <v>1</v>
      </c>
      <c r="I77" t="n">
        <v>6.23025285156297</v>
      </c>
    </row>
    <row r="78">
      <c r="A78">
        <f>Data_Awal!A4</f>
        <v/>
      </c>
      <c r="B78">
        <f>Data_Awal!B4</f>
        <v/>
      </c>
      <c r="C78">
        <f>AKAR(JUMLAH(PANGKAT(Normalisasi!$J$4-Konvergensi!$B$64;2);PANGKAT(Normalisasi!$K$4-Konvergensi!$C$64;2);PANGKAT(Normalisasi!$L$4-Konvergensi!$D$64;2);PANGKAT(Normalisasi!$M$4-Konvergensi!$E$64;2);PANGKAT(Normalisasi!$N$4-Konvergensi!$F$64;2);PANGKAT(Normalisasi!$O$4-Konvergensi!$G$64;2);PANGKAT(Normalisasi!$P$4-Konvergensi!$H$64;2)))</f>
        <v/>
      </c>
      <c r="D78">
        <f>AKAR(JUMLAH(PANGKAT(Normalisasi!$J$4-Konvergensi!$B$65;2);PANGKAT(Normalisasi!$K$4-Konvergensi!$C$65;2);PANGKAT(Normalisasi!$L$4-Konvergensi!$D$65;2);PANGKAT(Normalisasi!$M$4-Konvergensi!$E$65;2);PANGKAT(Normalisasi!$N$4-Konvergensi!$F$65;2);PANGKAT(Normalisasi!$O$4-Konvergensi!$G$65;2);PANGKAT(Normalisasi!$P$4-Konvergensi!$H$65;2)))</f>
        <v/>
      </c>
      <c r="E78">
        <f>AKAR(JUMLAH(PANGKAT(Normalisasi!$J$4-Konvergensi!$B$66;2);PANGKAT(Normalisasi!$K$4-Konvergensi!$C$66;2);PANGKAT(Normalisasi!$L$4-Konvergensi!$D$66;2);PANGKAT(Normalisasi!$M$4-Konvergensi!$E$66;2);PANGKAT(Normalisasi!$N$4-Konvergensi!$F$66;2);PANGKAT(Normalisasi!$O$4-Konvergensi!$G$66;2);PANGKAT(Normalisasi!$P$4-Konvergensi!$H$66;2)))</f>
        <v/>
      </c>
      <c r="F78">
        <f>JIKA(C78&lt;=D78;=JIKA(C78&lt;=E78;0;2);=JIKA(D78&lt;=E78;1;2))</f>
        <v/>
      </c>
      <c r="G78">
        <f>JUMLAH(JIKA(F78=0;JUMLAH(PANGKAT(Normalisasi!$J$4-Konvergensi!$B$129;2);PANGKAT(Normalisasi!$K$4-Konvergensi!$C$129;2);PANGKAT(Normalisasi!$L$4-Konvergensi!$D$129;2);PANGKAT(Normalisasi!$M$4-Konvergensi!$E$129;2);PANGKAT(Normalisasi!$N$4-Konvergensi!$F$129;2);PANGKAT(Normalisasi!$O$4-Konvergensi!$G$129;2);PANGKAT(Normalisasi!$P$4-Konvergensi!$H$129;2));0);JIKA(F78=1;JUMLAH(PANGKAT(Normalisasi!$J$4-Konvergensi!$B$130;2);PANGKAT(Normalisasi!$K$4-Konvergensi!$C$130;2);PANGKAT(Normalisasi!$L$4-Konvergensi!$D$130;2);PANGKAT(Normalisasi!$M$4-Konvergensi!$E$130;2);PANGKAT(Normalisasi!$N$4-Konvergensi!$F$130;2);PANGKAT(Normalisasi!$O$4-Konvergensi!$G$130;2);PANGKAT(Normalisasi!$P$4-Konvergensi!$H$130;2));0);JIKA(F78=2;JUMLAH(PANGKAT(Normalisasi!$J$4-Konvergensi!$B$131;2);PANGKAT(Normalisasi!$K$4-Konvergensi!$C$131;2);PANGKAT(Normalisasi!$L$4-Konvergensi!$D$131;2);PANGKAT(Normalisasi!$M$4-Konvergensi!$E$131;2);PANGKAT(Normalisasi!$N$4-Konvergensi!$F$131;2);PANGKAT(Normalisasi!$O$4-Konvergensi!$G$131;2);PANGKAT(Normalisasi!$P$4-Konvergensi!$H$131;2));0))</f>
        <v/>
      </c>
      <c r="H78" t="n">
        <v>1</v>
      </c>
      <c r="I78" t="n">
        <v>5.699312262706178</v>
      </c>
    </row>
    <row r="79">
      <c r="A79">
        <f>Data_Awal!A5</f>
        <v/>
      </c>
      <c r="B79">
        <f>Data_Awal!B5</f>
        <v/>
      </c>
      <c r="C79">
        <f>AKAR(JUMLAH(PANGKAT(Normalisasi!$J$5-Konvergensi!$B$64;2);PANGKAT(Normalisasi!$K$5-Konvergensi!$C$64;2);PANGKAT(Normalisasi!$L$5-Konvergensi!$D$64;2);PANGKAT(Normalisasi!$M$5-Konvergensi!$E$64;2);PANGKAT(Normalisasi!$N$5-Konvergensi!$F$64;2);PANGKAT(Normalisasi!$O$5-Konvergensi!$G$64;2);PANGKAT(Normalisasi!$P$5-Konvergensi!$H$64;2)))</f>
        <v/>
      </c>
      <c r="D79">
        <f>AKAR(JUMLAH(PANGKAT(Normalisasi!$J$5-Konvergensi!$B$65;2);PANGKAT(Normalisasi!$K$5-Konvergensi!$C$65;2);PANGKAT(Normalisasi!$L$5-Konvergensi!$D$65;2);PANGKAT(Normalisasi!$M$5-Konvergensi!$E$65;2);PANGKAT(Normalisasi!$N$5-Konvergensi!$F$65;2);PANGKAT(Normalisasi!$O$5-Konvergensi!$G$65;2);PANGKAT(Normalisasi!$P$5-Konvergensi!$H$65;2)))</f>
        <v/>
      </c>
      <c r="E79">
        <f>AKAR(JUMLAH(PANGKAT(Normalisasi!$J$5-Konvergensi!$B$66;2);PANGKAT(Normalisasi!$K$5-Konvergensi!$C$66;2);PANGKAT(Normalisasi!$L$5-Konvergensi!$D$66;2);PANGKAT(Normalisasi!$M$5-Konvergensi!$E$66;2);PANGKAT(Normalisasi!$N$5-Konvergensi!$F$66;2);PANGKAT(Normalisasi!$O$5-Konvergensi!$G$66;2);PANGKAT(Normalisasi!$P$5-Konvergensi!$H$66;2)))</f>
        <v/>
      </c>
      <c r="F79">
        <f>JIKA(C79&lt;=D79;=JIKA(C79&lt;=E79;0;2);=JIKA(D79&lt;=E79;1;2))</f>
        <v/>
      </c>
      <c r="G79">
        <f>JUMLAH(JIKA(F79=0;JUMLAH(PANGKAT(Normalisasi!$J$5-Konvergensi!$B$129;2);PANGKAT(Normalisasi!$K$5-Konvergensi!$C$129;2);PANGKAT(Normalisasi!$L$5-Konvergensi!$D$129;2);PANGKAT(Normalisasi!$M$5-Konvergensi!$E$129;2);PANGKAT(Normalisasi!$N$5-Konvergensi!$F$129;2);PANGKAT(Normalisasi!$O$5-Konvergensi!$G$129;2);PANGKAT(Normalisasi!$P$5-Konvergensi!$H$129;2));0);JIKA(F79=1;JUMLAH(PANGKAT(Normalisasi!$J$5-Konvergensi!$B$130;2);PANGKAT(Normalisasi!$K$5-Konvergensi!$C$130;2);PANGKAT(Normalisasi!$L$5-Konvergensi!$D$130;2);PANGKAT(Normalisasi!$M$5-Konvergensi!$E$130;2);PANGKAT(Normalisasi!$N$5-Konvergensi!$F$130;2);PANGKAT(Normalisasi!$O$5-Konvergensi!$G$130;2);PANGKAT(Normalisasi!$P$5-Konvergensi!$H$130;2));0);JIKA(F79=2;JUMLAH(PANGKAT(Normalisasi!$J$5-Konvergensi!$B$131;2);PANGKAT(Normalisasi!$K$5-Konvergensi!$C$131;2);PANGKAT(Normalisasi!$L$5-Konvergensi!$D$131;2);PANGKAT(Normalisasi!$M$5-Konvergensi!$E$131;2);PANGKAT(Normalisasi!$N$5-Konvergensi!$F$131;2);PANGKAT(Normalisasi!$O$5-Konvergensi!$G$131;2);PANGKAT(Normalisasi!$P$5-Konvergensi!$H$131;2));0))</f>
        <v/>
      </c>
      <c r="H79" t="n">
        <v>0</v>
      </c>
      <c r="I79" t="n">
        <v>6.798790805701297</v>
      </c>
    </row>
    <row r="80">
      <c r="A80">
        <f>Data_Awal!A6</f>
        <v/>
      </c>
      <c r="B80">
        <f>Data_Awal!B6</f>
        <v/>
      </c>
      <c r="C80">
        <f>AKAR(JUMLAH(PANGKAT(Normalisasi!$J$6-Konvergensi!$B$64;2);PANGKAT(Normalisasi!$K$6-Konvergensi!$C$64;2);PANGKAT(Normalisasi!$L$6-Konvergensi!$D$64;2);PANGKAT(Normalisasi!$M$6-Konvergensi!$E$64;2);PANGKAT(Normalisasi!$N$6-Konvergensi!$F$64;2);PANGKAT(Normalisasi!$O$6-Konvergensi!$G$64;2);PANGKAT(Normalisasi!$P$6-Konvergensi!$H$64;2)))</f>
        <v/>
      </c>
      <c r="D80">
        <f>AKAR(JUMLAH(PANGKAT(Normalisasi!$J$6-Konvergensi!$B$65;2);PANGKAT(Normalisasi!$K$6-Konvergensi!$C$65;2);PANGKAT(Normalisasi!$L$6-Konvergensi!$D$65;2);PANGKAT(Normalisasi!$M$6-Konvergensi!$E$65;2);PANGKAT(Normalisasi!$N$6-Konvergensi!$F$65;2);PANGKAT(Normalisasi!$O$6-Konvergensi!$G$65;2);PANGKAT(Normalisasi!$P$6-Konvergensi!$H$65;2)))</f>
        <v/>
      </c>
      <c r="E80">
        <f>AKAR(JUMLAH(PANGKAT(Normalisasi!$J$6-Konvergensi!$B$66;2);PANGKAT(Normalisasi!$K$6-Konvergensi!$C$66;2);PANGKAT(Normalisasi!$L$6-Konvergensi!$D$66;2);PANGKAT(Normalisasi!$M$6-Konvergensi!$E$66;2);PANGKAT(Normalisasi!$N$6-Konvergensi!$F$66;2);PANGKAT(Normalisasi!$O$6-Konvergensi!$G$66;2);PANGKAT(Normalisasi!$P$6-Konvergensi!$H$66;2)))</f>
        <v/>
      </c>
      <c r="F80">
        <f>JIKA(C80&lt;=D80;=JIKA(C80&lt;=E80;0;2);=JIKA(D80&lt;=E80;1;2))</f>
        <v/>
      </c>
      <c r="G80">
        <f>JUMLAH(JIKA(F80=0;JUMLAH(PANGKAT(Normalisasi!$J$6-Konvergensi!$B$129;2);PANGKAT(Normalisasi!$K$6-Konvergensi!$C$129;2);PANGKAT(Normalisasi!$L$6-Konvergensi!$D$129;2);PANGKAT(Normalisasi!$M$6-Konvergensi!$E$129;2);PANGKAT(Normalisasi!$N$6-Konvergensi!$F$129;2);PANGKAT(Normalisasi!$O$6-Konvergensi!$G$129;2);PANGKAT(Normalisasi!$P$6-Konvergensi!$H$129;2));0);JIKA(F80=1;JUMLAH(PANGKAT(Normalisasi!$J$6-Konvergensi!$B$130;2);PANGKAT(Normalisasi!$K$6-Konvergensi!$C$130;2);PANGKAT(Normalisasi!$L$6-Konvergensi!$D$130;2);PANGKAT(Normalisasi!$M$6-Konvergensi!$E$130;2);PANGKAT(Normalisasi!$N$6-Konvergensi!$F$130;2);PANGKAT(Normalisasi!$O$6-Konvergensi!$G$130;2);PANGKAT(Normalisasi!$P$6-Konvergensi!$H$130;2));0);JIKA(F80=2;JUMLAH(PANGKAT(Normalisasi!$J$6-Konvergensi!$B$131;2);PANGKAT(Normalisasi!$K$6-Konvergensi!$C$131;2);PANGKAT(Normalisasi!$L$6-Konvergensi!$D$131;2);PANGKAT(Normalisasi!$M$6-Konvergensi!$E$131;2);PANGKAT(Normalisasi!$N$6-Konvergensi!$F$131;2);PANGKAT(Normalisasi!$O$6-Konvergensi!$G$131;2);PANGKAT(Normalisasi!$P$6-Konvergensi!$H$131;2));0))</f>
        <v/>
      </c>
      <c r="H80" t="n">
        <v>0</v>
      </c>
      <c r="I80" t="n">
        <v>6.771026759760739</v>
      </c>
    </row>
    <row r="81">
      <c r="A81">
        <f>Data_Awal!A7</f>
        <v/>
      </c>
      <c r="B81">
        <f>Data_Awal!B7</f>
        <v/>
      </c>
      <c r="C81">
        <f>AKAR(JUMLAH(PANGKAT(Normalisasi!$J$7-Konvergensi!$B$64;2);PANGKAT(Normalisasi!$K$7-Konvergensi!$C$64;2);PANGKAT(Normalisasi!$L$7-Konvergensi!$D$64;2);PANGKAT(Normalisasi!$M$7-Konvergensi!$E$64;2);PANGKAT(Normalisasi!$N$7-Konvergensi!$F$64;2);PANGKAT(Normalisasi!$O$7-Konvergensi!$G$64;2);PANGKAT(Normalisasi!$P$7-Konvergensi!$H$64;2)))</f>
        <v/>
      </c>
      <c r="D81">
        <f>AKAR(JUMLAH(PANGKAT(Normalisasi!$J$7-Konvergensi!$B$65;2);PANGKAT(Normalisasi!$K$7-Konvergensi!$C$65;2);PANGKAT(Normalisasi!$L$7-Konvergensi!$D$65;2);PANGKAT(Normalisasi!$M$7-Konvergensi!$E$65;2);PANGKAT(Normalisasi!$N$7-Konvergensi!$F$65;2);PANGKAT(Normalisasi!$O$7-Konvergensi!$G$65;2);PANGKAT(Normalisasi!$P$7-Konvergensi!$H$65;2)))</f>
        <v/>
      </c>
      <c r="E81">
        <f>AKAR(JUMLAH(PANGKAT(Normalisasi!$J$7-Konvergensi!$B$66;2);PANGKAT(Normalisasi!$K$7-Konvergensi!$C$66;2);PANGKAT(Normalisasi!$L$7-Konvergensi!$D$66;2);PANGKAT(Normalisasi!$M$7-Konvergensi!$E$66;2);PANGKAT(Normalisasi!$N$7-Konvergensi!$F$66;2);PANGKAT(Normalisasi!$O$7-Konvergensi!$G$66;2);PANGKAT(Normalisasi!$P$7-Konvergensi!$H$66;2)))</f>
        <v/>
      </c>
      <c r="F81">
        <f>JIKA(C81&lt;=D81;=JIKA(C81&lt;=E81;0;2);=JIKA(D81&lt;=E81;1;2))</f>
        <v/>
      </c>
      <c r="G81">
        <f>JUMLAH(JIKA(F81=0;JUMLAH(PANGKAT(Normalisasi!$J$7-Konvergensi!$B$129;2);PANGKAT(Normalisasi!$K$7-Konvergensi!$C$129;2);PANGKAT(Normalisasi!$L$7-Konvergensi!$D$129;2);PANGKAT(Normalisasi!$M$7-Konvergensi!$E$129;2);PANGKAT(Normalisasi!$N$7-Konvergensi!$F$129;2);PANGKAT(Normalisasi!$O$7-Konvergensi!$G$129;2);PANGKAT(Normalisasi!$P$7-Konvergensi!$H$129;2));0);JIKA(F81=1;JUMLAH(PANGKAT(Normalisasi!$J$7-Konvergensi!$B$130;2);PANGKAT(Normalisasi!$K$7-Konvergensi!$C$130;2);PANGKAT(Normalisasi!$L$7-Konvergensi!$D$130;2);PANGKAT(Normalisasi!$M$7-Konvergensi!$E$130;2);PANGKAT(Normalisasi!$N$7-Konvergensi!$F$130;2);PANGKAT(Normalisasi!$O$7-Konvergensi!$G$130;2);PANGKAT(Normalisasi!$P$7-Konvergensi!$H$130;2));0);JIKA(F81=2;JUMLAH(PANGKAT(Normalisasi!$J$7-Konvergensi!$B$131;2);PANGKAT(Normalisasi!$K$7-Konvergensi!$C$131;2);PANGKAT(Normalisasi!$L$7-Konvergensi!$D$131;2);PANGKAT(Normalisasi!$M$7-Konvergensi!$E$131;2);PANGKAT(Normalisasi!$N$7-Konvergensi!$F$131;2);PANGKAT(Normalisasi!$O$7-Konvergensi!$G$131;2);PANGKAT(Normalisasi!$P$7-Konvergensi!$H$131;2));0))</f>
        <v/>
      </c>
      <c r="H81" t="n">
        <v>0</v>
      </c>
      <c r="I81" t="n">
        <v>5.706906961133385</v>
      </c>
    </row>
    <row r="82">
      <c r="A82">
        <f>Data_Awal!A8</f>
        <v/>
      </c>
      <c r="B82">
        <f>Data_Awal!B8</f>
        <v/>
      </c>
      <c r="C82">
        <f>AKAR(JUMLAH(PANGKAT(Normalisasi!$J$8-Konvergensi!$B$64;2);PANGKAT(Normalisasi!$K$8-Konvergensi!$C$64;2);PANGKAT(Normalisasi!$L$8-Konvergensi!$D$64;2);PANGKAT(Normalisasi!$M$8-Konvergensi!$E$64;2);PANGKAT(Normalisasi!$N$8-Konvergensi!$F$64;2);PANGKAT(Normalisasi!$O$8-Konvergensi!$G$64;2);PANGKAT(Normalisasi!$P$8-Konvergensi!$H$64;2)))</f>
        <v/>
      </c>
      <c r="D82">
        <f>AKAR(JUMLAH(PANGKAT(Normalisasi!$J$8-Konvergensi!$B$65;2);PANGKAT(Normalisasi!$K$8-Konvergensi!$C$65;2);PANGKAT(Normalisasi!$L$8-Konvergensi!$D$65;2);PANGKAT(Normalisasi!$M$8-Konvergensi!$E$65;2);PANGKAT(Normalisasi!$N$8-Konvergensi!$F$65;2);PANGKAT(Normalisasi!$O$8-Konvergensi!$G$65;2);PANGKAT(Normalisasi!$P$8-Konvergensi!$H$65;2)))</f>
        <v/>
      </c>
      <c r="E82">
        <f>AKAR(JUMLAH(PANGKAT(Normalisasi!$J$8-Konvergensi!$B$66;2);PANGKAT(Normalisasi!$K$8-Konvergensi!$C$66;2);PANGKAT(Normalisasi!$L$8-Konvergensi!$D$66;2);PANGKAT(Normalisasi!$M$8-Konvergensi!$E$66;2);PANGKAT(Normalisasi!$N$8-Konvergensi!$F$66;2);PANGKAT(Normalisasi!$O$8-Konvergensi!$G$66;2);PANGKAT(Normalisasi!$P$8-Konvergensi!$H$66;2)))</f>
        <v/>
      </c>
      <c r="F82">
        <f>JIKA(C82&lt;=D82;=JIKA(C82&lt;=E82;0;2);=JIKA(D82&lt;=E82;1;2))</f>
        <v/>
      </c>
      <c r="G82">
        <f>JUMLAH(JIKA(F82=0;JUMLAH(PANGKAT(Normalisasi!$J$8-Konvergensi!$B$129;2);PANGKAT(Normalisasi!$K$8-Konvergensi!$C$129;2);PANGKAT(Normalisasi!$L$8-Konvergensi!$D$129;2);PANGKAT(Normalisasi!$M$8-Konvergensi!$E$129;2);PANGKAT(Normalisasi!$N$8-Konvergensi!$F$129;2);PANGKAT(Normalisasi!$O$8-Konvergensi!$G$129;2);PANGKAT(Normalisasi!$P$8-Konvergensi!$H$129;2));0);JIKA(F82=1;JUMLAH(PANGKAT(Normalisasi!$J$8-Konvergensi!$B$130;2);PANGKAT(Normalisasi!$K$8-Konvergensi!$C$130;2);PANGKAT(Normalisasi!$L$8-Konvergensi!$D$130;2);PANGKAT(Normalisasi!$M$8-Konvergensi!$E$130;2);PANGKAT(Normalisasi!$N$8-Konvergensi!$F$130;2);PANGKAT(Normalisasi!$O$8-Konvergensi!$G$130;2);PANGKAT(Normalisasi!$P$8-Konvergensi!$H$130;2));0);JIKA(F82=2;JUMLAH(PANGKAT(Normalisasi!$J$8-Konvergensi!$B$131;2);PANGKAT(Normalisasi!$K$8-Konvergensi!$C$131;2);PANGKAT(Normalisasi!$L$8-Konvergensi!$D$131;2);PANGKAT(Normalisasi!$M$8-Konvergensi!$E$131;2);PANGKAT(Normalisasi!$N$8-Konvergensi!$F$131;2);PANGKAT(Normalisasi!$O$8-Konvergensi!$G$131;2);PANGKAT(Normalisasi!$P$8-Konvergensi!$H$131;2));0))</f>
        <v/>
      </c>
      <c r="H82" t="n">
        <v>0</v>
      </c>
      <c r="I82" t="n">
        <v>8.714937113895655</v>
      </c>
    </row>
    <row r="83">
      <c r="A83">
        <f>Data_Awal!A9</f>
        <v/>
      </c>
      <c r="B83">
        <f>Data_Awal!B9</f>
        <v/>
      </c>
      <c r="C83">
        <f>AKAR(JUMLAH(PANGKAT(Normalisasi!$J$9-Konvergensi!$B$64;2);PANGKAT(Normalisasi!$K$9-Konvergensi!$C$64;2);PANGKAT(Normalisasi!$L$9-Konvergensi!$D$64;2);PANGKAT(Normalisasi!$M$9-Konvergensi!$E$64;2);PANGKAT(Normalisasi!$N$9-Konvergensi!$F$64;2);PANGKAT(Normalisasi!$O$9-Konvergensi!$G$64;2);PANGKAT(Normalisasi!$P$9-Konvergensi!$H$64;2)))</f>
        <v/>
      </c>
      <c r="D83">
        <f>AKAR(JUMLAH(PANGKAT(Normalisasi!$J$9-Konvergensi!$B$65;2);PANGKAT(Normalisasi!$K$9-Konvergensi!$C$65;2);PANGKAT(Normalisasi!$L$9-Konvergensi!$D$65;2);PANGKAT(Normalisasi!$M$9-Konvergensi!$E$65;2);PANGKAT(Normalisasi!$N$9-Konvergensi!$F$65;2);PANGKAT(Normalisasi!$O$9-Konvergensi!$G$65;2);PANGKAT(Normalisasi!$P$9-Konvergensi!$H$65;2)))</f>
        <v/>
      </c>
      <c r="E83">
        <f>AKAR(JUMLAH(PANGKAT(Normalisasi!$J$9-Konvergensi!$B$66;2);PANGKAT(Normalisasi!$K$9-Konvergensi!$C$66;2);PANGKAT(Normalisasi!$L$9-Konvergensi!$D$66;2);PANGKAT(Normalisasi!$M$9-Konvergensi!$E$66;2);PANGKAT(Normalisasi!$N$9-Konvergensi!$F$66;2);PANGKAT(Normalisasi!$O$9-Konvergensi!$G$66;2);PANGKAT(Normalisasi!$P$9-Konvergensi!$H$66;2)))</f>
        <v/>
      </c>
      <c r="F83">
        <f>JIKA(C83&lt;=D83;=JIKA(C83&lt;=E83;0;2);=JIKA(D83&lt;=E83;1;2))</f>
        <v/>
      </c>
      <c r="G83">
        <f>JUMLAH(JIKA(F83=0;JUMLAH(PANGKAT(Normalisasi!$J$9-Konvergensi!$B$129;2);PANGKAT(Normalisasi!$K$9-Konvergensi!$C$129;2);PANGKAT(Normalisasi!$L$9-Konvergensi!$D$129;2);PANGKAT(Normalisasi!$M$9-Konvergensi!$E$129;2);PANGKAT(Normalisasi!$N$9-Konvergensi!$F$129;2);PANGKAT(Normalisasi!$O$9-Konvergensi!$G$129;2);PANGKAT(Normalisasi!$P$9-Konvergensi!$H$129;2));0);JIKA(F83=1;JUMLAH(PANGKAT(Normalisasi!$J$9-Konvergensi!$B$130;2);PANGKAT(Normalisasi!$K$9-Konvergensi!$C$130;2);PANGKAT(Normalisasi!$L$9-Konvergensi!$D$130;2);PANGKAT(Normalisasi!$M$9-Konvergensi!$E$130;2);PANGKAT(Normalisasi!$N$9-Konvergensi!$F$130;2);PANGKAT(Normalisasi!$O$9-Konvergensi!$G$130;2);PANGKAT(Normalisasi!$P$9-Konvergensi!$H$130;2));0);JIKA(F83=2;JUMLAH(PANGKAT(Normalisasi!$J$9-Konvergensi!$B$131;2);PANGKAT(Normalisasi!$K$9-Konvergensi!$C$131;2);PANGKAT(Normalisasi!$L$9-Konvergensi!$D$131;2);PANGKAT(Normalisasi!$M$9-Konvergensi!$E$131;2);PANGKAT(Normalisasi!$N$9-Konvergensi!$F$131;2);PANGKAT(Normalisasi!$O$9-Konvergensi!$G$131;2);PANGKAT(Normalisasi!$P$9-Konvergensi!$H$131;2));0))</f>
        <v/>
      </c>
      <c r="H83" t="n">
        <v>1</v>
      </c>
      <c r="I83" t="n">
        <v>6.846697401376302</v>
      </c>
    </row>
    <row r="84">
      <c r="A84">
        <f>Data_Awal!A10</f>
        <v/>
      </c>
      <c r="B84">
        <f>Data_Awal!B10</f>
        <v/>
      </c>
      <c r="C84">
        <f>AKAR(JUMLAH(PANGKAT(Normalisasi!$J$10-Konvergensi!$B$64;2);PANGKAT(Normalisasi!$K$10-Konvergensi!$C$64;2);PANGKAT(Normalisasi!$L$10-Konvergensi!$D$64;2);PANGKAT(Normalisasi!$M$10-Konvergensi!$E$64;2);PANGKAT(Normalisasi!$N$10-Konvergensi!$F$64;2);PANGKAT(Normalisasi!$O$10-Konvergensi!$G$64;2);PANGKAT(Normalisasi!$P$10-Konvergensi!$H$64;2)))</f>
        <v/>
      </c>
      <c r="D84">
        <f>AKAR(JUMLAH(PANGKAT(Normalisasi!$J$10-Konvergensi!$B$65;2);PANGKAT(Normalisasi!$K$10-Konvergensi!$C$65;2);PANGKAT(Normalisasi!$L$10-Konvergensi!$D$65;2);PANGKAT(Normalisasi!$M$10-Konvergensi!$E$65;2);PANGKAT(Normalisasi!$N$10-Konvergensi!$F$65;2);PANGKAT(Normalisasi!$O$10-Konvergensi!$G$65;2);PANGKAT(Normalisasi!$P$10-Konvergensi!$H$65;2)))</f>
        <v/>
      </c>
      <c r="E84">
        <f>AKAR(JUMLAH(PANGKAT(Normalisasi!$J$10-Konvergensi!$B$66;2);PANGKAT(Normalisasi!$K$10-Konvergensi!$C$66;2);PANGKAT(Normalisasi!$L$10-Konvergensi!$D$66;2);PANGKAT(Normalisasi!$M$10-Konvergensi!$E$66;2);PANGKAT(Normalisasi!$N$10-Konvergensi!$F$66;2);PANGKAT(Normalisasi!$O$10-Konvergensi!$G$66;2);PANGKAT(Normalisasi!$P$10-Konvergensi!$H$66;2)))</f>
        <v/>
      </c>
      <c r="F84">
        <f>JIKA(C84&lt;=D84;=JIKA(C84&lt;=E84;0;2);=JIKA(D84&lt;=E84;1;2))</f>
        <v/>
      </c>
      <c r="G84">
        <f>JUMLAH(JIKA(F84=0;JUMLAH(PANGKAT(Normalisasi!$J$10-Konvergensi!$B$129;2);PANGKAT(Normalisasi!$K$10-Konvergensi!$C$129;2);PANGKAT(Normalisasi!$L$10-Konvergensi!$D$129;2);PANGKAT(Normalisasi!$M$10-Konvergensi!$E$129;2);PANGKAT(Normalisasi!$N$10-Konvergensi!$F$129;2);PANGKAT(Normalisasi!$O$10-Konvergensi!$G$129;2);PANGKAT(Normalisasi!$P$10-Konvergensi!$H$129;2));0);JIKA(F84=1;JUMLAH(PANGKAT(Normalisasi!$J$10-Konvergensi!$B$130;2);PANGKAT(Normalisasi!$K$10-Konvergensi!$C$130;2);PANGKAT(Normalisasi!$L$10-Konvergensi!$D$130;2);PANGKAT(Normalisasi!$M$10-Konvergensi!$E$130;2);PANGKAT(Normalisasi!$N$10-Konvergensi!$F$130;2);PANGKAT(Normalisasi!$O$10-Konvergensi!$G$130;2);PANGKAT(Normalisasi!$P$10-Konvergensi!$H$130;2));0);JIKA(F84=2;JUMLAH(PANGKAT(Normalisasi!$J$10-Konvergensi!$B$131;2);PANGKAT(Normalisasi!$K$10-Konvergensi!$C$131;2);PANGKAT(Normalisasi!$L$10-Konvergensi!$D$131;2);PANGKAT(Normalisasi!$M$10-Konvergensi!$E$131;2);PANGKAT(Normalisasi!$N$10-Konvergensi!$F$131;2);PANGKAT(Normalisasi!$O$10-Konvergensi!$G$131;2);PANGKAT(Normalisasi!$P$10-Konvergensi!$H$131;2));0))</f>
        <v/>
      </c>
      <c r="H84" t="n">
        <v>0</v>
      </c>
      <c r="I84" t="n">
        <v>4.390279156055467</v>
      </c>
    </row>
    <row r="85">
      <c r="A85">
        <f>Data_Awal!A11</f>
        <v/>
      </c>
      <c r="B85">
        <f>Data_Awal!B11</f>
        <v/>
      </c>
      <c r="C85">
        <f>AKAR(JUMLAH(PANGKAT(Normalisasi!$J$11-Konvergensi!$B$64;2);PANGKAT(Normalisasi!$K$11-Konvergensi!$C$64;2);PANGKAT(Normalisasi!$L$11-Konvergensi!$D$64;2);PANGKAT(Normalisasi!$M$11-Konvergensi!$E$64;2);PANGKAT(Normalisasi!$N$11-Konvergensi!$F$64;2);PANGKAT(Normalisasi!$O$11-Konvergensi!$G$64;2);PANGKAT(Normalisasi!$P$11-Konvergensi!$H$64;2)))</f>
        <v/>
      </c>
      <c r="D85">
        <f>AKAR(JUMLAH(PANGKAT(Normalisasi!$J$11-Konvergensi!$B$65;2);PANGKAT(Normalisasi!$K$11-Konvergensi!$C$65;2);PANGKAT(Normalisasi!$L$11-Konvergensi!$D$65;2);PANGKAT(Normalisasi!$M$11-Konvergensi!$E$65;2);PANGKAT(Normalisasi!$N$11-Konvergensi!$F$65;2);PANGKAT(Normalisasi!$O$11-Konvergensi!$G$65;2);PANGKAT(Normalisasi!$P$11-Konvergensi!$H$65;2)))</f>
        <v/>
      </c>
      <c r="E85">
        <f>AKAR(JUMLAH(PANGKAT(Normalisasi!$J$11-Konvergensi!$B$66;2);PANGKAT(Normalisasi!$K$11-Konvergensi!$C$66;2);PANGKAT(Normalisasi!$L$11-Konvergensi!$D$66;2);PANGKAT(Normalisasi!$M$11-Konvergensi!$E$66;2);PANGKAT(Normalisasi!$N$11-Konvergensi!$F$66;2);PANGKAT(Normalisasi!$O$11-Konvergensi!$G$66;2);PANGKAT(Normalisasi!$P$11-Konvergensi!$H$66;2)))</f>
        <v/>
      </c>
      <c r="F85">
        <f>JIKA(C85&lt;=D85;=JIKA(C85&lt;=E85;0;2);=JIKA(D85&lt;=E85;1;2))</f>
        <v/>
      </c>
      <c r="G85">
        <f>JUMLAH(JIKA(F85=0;JUMLAH(PANGKAT(Normalisasi!$J$11-Konvergensi!$B$129;2);PANGKAT(Normalisasi!$K$11-Konvergensi!$C$129;2);PANGKAT(Normalisasi!$L$11-Konvergensi!$D$129;2);PANGKAT(Normalisasi!$M$11-Konvergensi!$E$129;2);PANGKAT(Normalisasi!$N$11-Konvergensi!$F$129;2);PANGKAT(Normalisasi!$O$11-Konvergensi!$G$129;2);PANGKAT(Normalisasi!$P$11-Konvergensi!$H$129;2));0);JIKA(F85=1;JUMLAH(PANGKAT(Normalisasi!$J$11-Konvergensi!$B$130;2);PANGKAT(Normalisasi!$K$11-Konvergensi!$C$130;2);PANGKAT(Normalisasi!$L$11-Konvergensi!$D$130;2);PANGKAT(Normalisasi!$M$11-Konvergensi!$E$130;2);PANGKAT(Normalisasi!$N$11-Konvergensi!$F$130;2);PANGKAT(Normalisasi!$O$11-Konvergensi!$G$130;2);PANGKAT(Normalisasi!$P$11-Konvergensi!$H$130;2));0);JIKA(F85=2;JUMLAH(PANGKAT(Normalisasi!$J$11-Konvergensi!$B$131;2);PANGKAT(Normalisasi!$K$11-Konvergensi!$C$131;2);PANGKAT(Normalisasi!$L$11-Konvergensi!$D$131;2);PANGKAT(Normalisasi!$M$11-Konvergensi!$E$131;2);PANGKAT(Normalisasi!$N$11-Konvergensi!$F$131;2);PANGKAT(Normalisasi!$O$11-Konvergensi!$G$131;2);PANGKAT(Normalisasi!$P$11-Konvergensi!$H$131;2));0))</f>
        <v/>
      </c>
      <c r="H85" t="n">
        <v>1</v>
      </c>
      <c r="I85" t="n">
        <v>1.618477953833825</v>
      </c>
    </row>
    <row r="86">
      <c r="A86">
        <f>Data_Awal!A12</f>
        <v/>
      </c>
      <c r="B86">
        <f>Data_Awal!B12</f>
        <v/>
      </c>
      <c r="C86">
        <f>AKAR(JUMLAH(PANGKAT(Normalisasi!$J$12-Konvergensi!$B$64;2);PANGKAT(Normalisasi!$K$12-Konvergensi!$C$64;2);PANGKAT(Normalisasi!$L$12-Konvergensi!$D$64;2);PANGKAT(Normalisasi!$M$12-Konvergensi!$E$64;2);PANGKAT(Normalisasi!$N$12-Konvergensi!$F$64;2);PANGKAT(Normalisasi!$O$12-Konvergensi!$G$64;2);PANGKAT(Normalisasi!$P$12-Konvergensi!$H$64;2)))</f>
        <v/>
      </c>
      <c r="D86">
        <f>AKAR(JUMLAH(PANGKAT(Normalisasi!$J$12-Konvergensi!$B$65;2);PANGKAT(Normalisasi!$K$12-Konvergensi!$C$65;2);PANGKAT(Normalisasi!$L$12-Konvergensi!$D$65;2);PANGKAT(Normalisasi!$M$12-Konvergensi!$E$65;2);PANGKAT(Normalisasi!$N$12-Konvergensi!$F$65;2);PANGKAT(Normalisasi!$O$12-Konvergensi!$G$65;2);PANGKAT(Normalisasi!$P$12-Konvergensi!$H$65;2)))</f>
        <v/>
      </c>
      <c r="E86">
        <f>AKAR(JUMLAH(PANGKAT(Normalisasi!$J$12-Konvergensi!$B$66;2);PANGKAT(Normalisasi!$K$12-Konvergensi!$C$66;2);PANGKAT(Normalisasi!$L$12-Konvergensi!$D$66;2);PANGKAT(Normalisasi!$M$12-Konvergensi!$E$66;2);PANGKAT(Normalisasi!$N$12-Konvergensi!$F$66;2);PANGKAT(Normalisasi!$O$12-Konvergensi!$G$66;2);PANGKAT(Normalisasi!$P$12-Konvergensi!$H$66;2)))</f>
        <v/>
      </c>
      <c r="F86">
        <f>JIKA(C86&lt;=D86;=JIKA(C86&lt;=E86;0;2);=JIKA(D86&lt;=E86;1;2))</f>
        <v/>
      </c>
      <c r="G86">
        <f>JUMLAH(JIKA(F86=0;JUMLAH(PANGKAT(Normalisasi!$J$12-Konvergensi!$B$129;2);PANGKAT(Normalisasi!$K$12-Konvergensi!$C$129;2);PANGKAT(Normalisasi!$L$12-Konvergensi!$D$129;2);PANGKAT(Normalisasi!$M$12-Konvergensi!$E$129;2);PANGKAT(Normalisasi!$N$12-Konvergensi!$F$129;2);PANGKAT(Normalisasi!$O$12-Konvergensi!$G$129;2);PANGKAT(Normalisasi!$P$12-Konvergensi!$H$129;2));0);JIKA(F86=1;JUMLAH(PANGKAT(Normalisasi!$J$12-Konvergensi!$B$130;2);PANGKAT(Normalisasi!$K$12-Konvergensi!$C$130;2);PANGKAT(Normalisasi!$L$12-Konvergensi!$D$130;2);PANGKAT(Normalisasi!$M$12-Konvergensi!$E$130;2);PANGKAT(Normalisasi!$N$12-Konvergensi!$F$130;2);PANGKAT(Normalisasi!$O$12-Konvergensi!$G$130;2);PANGKAT(Normalisasi!$P$12-Konvergensi!$H$130;2));0);JIKA(F86=2;JUMLAH(PANGKAT(Normalisasi!$J$12-Konvergensi!$B$131;2);PANGKAT(Normalisasi!$K$12-Konvergensi!$C$131;2);PANGKAT(Normalisasi!$L$12-Konvergensi!$D$131;2);PANGKAT(Normalisasi!$M$12-Konvergensi!$E$131;2);PANGKAT(Normalisasi!$N$12-Konvergensi!$F$131;2);PANGKAT(Normalisasi!$O$12-Konvergensi!$G$131;2);PANGKAT(Normalisasi!$P$12-Konvergensi!$H$131;2));0))</f>
        <v/>
      </c>
      <c r="H86" t="n">
        <v>1</v>
      </c>
      <c r="I86" t="n">
        <v>7.96011614729661</v>
      </c>
    </row>
    <row r="87">
      <c r="A87">
        <f>Data_Awal!A13</f>
        <v/>
      </c>
      <c r="B87">
        <f>Data_Awal!B13</f>
        <v/>
      </c>
      <c r="C87">
        <f>AKAR(JUMLAH(PANGKAT(Normalisasi!$J$13-Konvergensi!$B$64;2);PANGKAT(Normalisasi!$K$13-Konvergensi!$C$64;2);PANGKAT(Normalisasi!$L$13-Konvergensi!$D$64;2);PANGKAT(Normalisasi!$M$13-Konvergensi!$E$64;2);PANGKAT(Normalisasi!$N$13-Konvergensi!$F$64;2);PANGKAT(Normalisasi!$O$13-Konvergensi!$G$64;2);PANGKAT(Normalisasi!$P$13-Konvergensi!$H$64;2)))</f>
        <v/>
      </c>
      <c r="D87">
        <f>AKAR(JUMLAH(PANGKAT(Normalisasi!$J$13-Konvergensi!$B$65;2);PANGKAT(Normalisasi!$K$13-Konvergensi!$C$65;2);PANGKAT(Normalisasi!$L$13-Konvergensi!$D$65;2);PANGKAT(Normalisasi!$M$13-Konvergensi!$E$65;2);PANGKAT(Normalisasi!$N$13-Konvergensi!$F$65;2);PANGKAT(Normalisasi!$O$13-Konvergensi!$G$65;2);PANGKAT(Normalisasi!$P$13-Konvergensi!$H$65;2)))</f>
        <v/>
      </c>
      <c r="E87">
        <f>AKAR(JUMLAH(PANGKAT(Normalisasi!$J$13-Konvergensi!$B$66;2);PANGKAT(Normalisasi!$K$13-Konvergensi!$C$66;2);PANGKAT(Normalisasi!$L$13-Konvergensi!$D$66;2);PANGKAT(Normalisasi!$M$13-Konvergensi!$E$66;2);PANGKAT(Normalisasi!$N$13-Konvergensi!$F$66;2);PANGKAT(Normalisasi!$O$13-Konvergensi!$G$66;2);PANGKAT(Normalisasi!$P$13-Konvergensi!$H$66;2)))</f>
        <v/>
      </c>
      <c r="F87">
        <f>JIKA(C87&lt;=D87;=JIKA(C87&lt;=E87;0;2);=JIKA(D87&lt;=E87;1;2))</f>
        <v/>
      </c>
      <c r="G87">
        <f>JUMLAH(JIKA(F87=0;JUMLAH(PANGKAT(Normalisasi!$J$13-Konvergensi!$B$129;2);PANGKAT(Normalisasi!$K$13-Konvergensi!$C$129;2);PANGKAT(Normalisasi!$L$13-Konvergensi!$D$129;2);PANGKAT(Normalisasi!$M$13-Konvergensi!$E$129;2);PANGKAT(Normalisasi!$N$13-Konvergensi!$F$129;2);PANGKAT(Normalisasi!$O$13-Konvergensi!$G$129;2);PANGKAT(Normalisasi!$P$13-Konvergensi!$H$129;2));0);JIKA(F87=1;JUMLAH(PANGKAT(Normalisasi!$J$13-Konvergensi!$B$130;2);PANGKAT(Normalisasi!$K$13-Konvergensi!$C$130;2);PANGKAT(Normalisasi!$L$13-Konvergensi!$D$130;2);PANGKAT(Normalisasi!$M$13-Konvergensi!$E$130;2);PANGKAT(Normalisasi!$N$13-Konvergensi!$F$130;2);PANGKAT(Normalisasi!$O$13-Konvergensi!$G$130;2);PANGKAT(Normalisasi!$P$13-Konvergensi!$H$130;2));0);JIKA(F87=2;JUMLAH(PANGKAT(Normalisasi!$J$13-Konvergensi!$B$131;2);PANGKAT(Normalisasi!$K$13-Konvergensi!$C$131;2);PANGKAT(Normalisasi!$L$13-Konvergensi!$D$131;2);PANGKAT(Normalisasi!$M$13-Konvergensi!$E$131;2);PANGKAT(Normalisasi!$N$13-Konvergensi!$F$131;2);PANGKAT(Normalisasi!$O$13-Konvergensi!$G$131;2);PANGKAT(Normalisasi!$P$13-Konvergensi!$H$131;2));0))</f>
        <v/>
      </c>
      <c r="H87" t="n">
        <v>1</v>
      </c>
      <c r="I87" t="n">
        <v>7.020823881391489</v>
      </c>
    </row>
    <row r="88">
      <c r="A88">
        <f>Data_Awal!A14</f>
        <v/>
      </c>
      <c r="B88">
        <f>Data_Awal!B14</f>
        <v/>
      </c>
      <c r="C88">
        <f>AKAR(JUMLAH(PANGKAT(Normalisasi!$J$14-Konvergensi!$B$64;2);PANGKAT(Normalisasi!$K$14-Konvergensi!$C$64;2);PANGKAT(Normalisasi!$L$14-Konvergensi!$D$64;2);PANGKAT(Normalisasi!$M$14-Konvergensi!$E$64;2);PANGKAT(Normalisasi!$N$14-Konvergensi!$F$64;2);PANGKAT(Normalisasi!$O$14-Konvergensi!$G$64;2);PANGKAT(Normalisasi!$P$14-Konvergensi!$H$64;2)))</f>
        <v/>
      </c>
      <c r="D88">
        <f>AKAR(JUMLAH(PANGKAT(Normalisasi!$J$14-Konvergensi!$B$65;2);PANGKAT(Normalisasi!$K$14-Konvergensi!$C$65;2);PANGKAT(Normalisasi!$L$14-Konvergensi!$D$65;2);PANGKAT(Normalisasi!$M$14-Konvergensi!$E$65;2);PANGKAT(Normalisasi!$N$14-Konvergensi!$F$65;2);PANGKAT(Normalisasi!$O$14-Konvergensi!$G$65;2);PANGKAT(Normalisasi!$P$14-Konvergensi!$H$65;2)))</f>
        <v/>
      </c>
      <c r="E88">
        <f>AKAR(JUMLAH(PANGKAT(Normalisasi!$J$14-Konvergensi!$B$66;2);PANGKAT(Normalisasi!$K$14-Konvergensi!$C$66;2);PANGKAT(Normalisasi!$L$14-Konvergensi!$D$66;2);PANGKAT(Normalisasi!$M$14-Konvergensi!$E$66;2);PANGKAT(Normalisasi!$N$14-Konvergensi!$F$66;2);PANGKAT(Normalisasi!$O$14-Konvergensi!$G$66;2);PANGKAT(Normalisasi!$P$14-Konvergensi!$H$66;2)))</f>
        <v/>
      </c>
      <c r="F88">
        <f>JIKA(C88&lt;=D88;=JIKA(C88&lt;=E88;0;2);=JIKA(D88&lt;=E88;1;2))</f>
        <v/>
      </c>
      <c r="G88">
        <f>JUMLAH(JIKA(F88=0;JUMLAH(PANGKAT(Normalisasi!$J$14-Konvergensi!$B$129;2);PANGKAT(Normalisasi!$K$14-Konvergensi!$C$129;2);PANGKAT(Normalisasi!$L$14-Konvergensi!$D$129;2);PANGKAT(Normalisasi!$M$14-Konvergensi!$E$129;2);PANGKAT(Normalisasi!$N$14-Konvergensi!$F$129;2);PANGKAT(Normalisasi!$O$14-Konvergensi!$G$129;2);PANGKAT(Normalisasi!$P$14-Konvergensi!$H$129;2));0);JIKA(F88=1;JUMLAH(PANGKAT(Normalisasi!$J$14-Konvergensi!$B$130;2);PANGKAT(Normalisasi!$K$14-Konvergensi!$C$130;2);PANGKAT(Normalisasi!$L$14-Konvergensi!$D$130;2);PANGKAT(Normalisasi!$M$14-Konvergensi!$E$130;2);PANGKAT(Normalisasi!$N$14-Konvergensi!$F$130;2);PANGKAT(Normalisasi!$O$14-Konvergensi!$G$130;2);PANGKAT(Normalisasi!$P$14-Konvergensi!$H$130;2));0);JIKA(F88=2;JUMLAH(PANGKAT(Normalisasi!$J$14-Konvergensi!$B$131;2);PANGKAT(Normalisasi!$K$14-Konvergensi!$C$131;2);PANGKAT(Normalisasi!$L$14-Konvergensi!$D$131;2);PANGKAT(Normalisasi!$M$14-Konvergensi!$E$131;2);PANGKAT(Normalisasi!$N$14-Konvergensi!$F$131;2);PANGKAT(Normalisasi!$O$14-Konvergensi!$G$131;2);PANGKAT(Normalisasi!$P$14-Konvergensi!$H$131;2));0))</f>
        <v/>
      </c>
      <c r="H88" t="n">
        <v>2</v>
      </c>
      <c r="I88" t="n">
        <v>3.317608001605372</v>
      </c>
    </row>
    <row r="89">
      <c r="A89">
        <f>Data_Awal!A15</f>
        <v/>
      </c>
      <c r="B89">
        <f>Data_Awal!B15</f>
        <v/>
      </c>
      <c r="C89">
        <f>AKAR(JUMLAH(PANGKAT(Normalisasi!$J$15-Konvergensi!$B$64;2);PANGKAT(Normalisasi!$K$15-Konvergensi!$C$64;2);PANGKAT(Normalisasi!$L$15-Konvergensi!$D$64;2);PANGKAT(Normalisasi!$M$15-Konvergensi!$E$64;2);PANGKAT(Normalisasi!$N$15-Konvergensi!$F$64;2);PANGKAT(Normalisasi!$O$15-Konvergensi!$G$64;2);PANGKAT(Normalisasi!$P$15-Konvergensi!$H$64;2)))</f>
        <v/>
      </c>
      <c r="D89">
        <f>AKAR(JUMLAH(PANGKAT(Normalisasi!$J$15-Konvergensi!$B$65;2);PANGKAT(Normalisasi!$K$15-Konvergensi!$C$65;2);PANGKAT(Normalisasi!$L$15-Konvergensi!$D$65;2);PANGKAT(Normalisasi!$M$15-Konvergensi!$E$65;2);PANGKAT(Normalisasi!$N$15-Konvergensi!$F$65;2);PANGKAT(Normalisasi!$O$15-Konvergensi!$G$65;2);PANGKAT(Normalisasi!$P$15-Konvergensi!$H$65;2)))</f>
        <v/>
      </c>
      <c r="E89">
        <f>AKAR(JUMLAH(PANGKAT(Normalisasi!$J$15-Konvergensi!$B$66;2);PANGKAT(Normalisasi!$K$15-Konvergensi!$C$66;2);PANGKAT(Normalisasi!$L$15-Konvergensi!$D$66;2);PANGKAT(Normalisasi!$M$15-Konvergensi!$E$66;2);PANGKAT(Normalisasi!$N$15-Konvergensi!$F$66;2);PANGKAT(Normalisasi!$O$15-Konvergensi!$G$66;2);PANGKAT(Normalisasi!$P$15-Konvergensi!$H$66;2)))</f>
        <v/>
      </c>
      <c r="F89">
        <f>JIKA(C89&lt;=D89;=JIKA(C89&lt;=E89;0;2);=JIKA(D89&lt;=E89;1;2))</f>
        <v/>
      </c>
      <c r="G89">
        <f>JUMLAH(JIKA(F89=0;JUMLAH(PANGKAT(Normalisasi!$J$15-Konvergensi!$B$129;2);PANGKAT(Normalisasi!$K$15-Konvergensi!$C$129;2);PANGKAT(Normalisasi!$L$15-Konvergensi!$D$129;2);PANGKAT(Normalisasi!$M$15-Konvergensi!$E$129;2);PANGKAT(Normalisasi!$N$15-Konvergensi!$F$129;2);PANGKAT(Normalisasi!$O$15-Konvergensi!$G$129;2);PANGKAT(Normalisasi!$P$15-Konvergensi!$H$129;2));0);JIKA(F89=1;JUMLAH(PANGKAT(Normalisasi!$J$15-Konvergensi!$B$130;2);PANGKAT(Normalisasi!$K$15-Konvergensi!$C$130;2);PANGKAT(Normalisasi!$L$15-Konvergensi!$D$130;2);PANGKAT(Normalisasi!$M$15-Konvergensi!$E$130;2);PANGKAT(Normalisasi!$N$15-Konvergensi!$F$130;2);PANGKAT(Normalisasi!$O$15-Konvergensi!$G$130;2);PANGKAT(Normalisasi!$P$15-Konvergensi!$H$130;2));0);JIKA(F89=2;JUMLAH(PANGKAT(Normalisasi!$J$15-Konvergensi!$B$131;2);PANGKAT(Normalisasi!$K$15-Konvergensi!$C$131;2);PANGKAT(Normalisasi!$L$15-Konvergensi!$D$131;2);PANGKAT(Normalisasi!$M$15-Konvergensi!$E$131;2);PANGKAT(Normalisasi!$N$15-Konvergensi!$F$131;2);PANGKAT(Normalisasi!$O$15-Konvergensi!$G$131;2);PANGKAT(Normalisasi!$P$15-Konvergensi!$H$131;2));0))</f>
        <v/>
      </c>
      <c r="H89" t="n">
        <v>0</v>
      </c>
      <c r="I89" t="n">
        <v>4.499441664538335</v>
      </c>
    </row>
    <row r="90">
      <c r="A90">
        <f>Data_Awal!A16</f>
        <v/>
      </c>
      <c r="B90">
        <f>Data_Awal!B16</f>
        <v/>
      </c>
      <c r="C90">
        <f>AKAR(JUMLAH(PANGKAT(Normalisasi!$J$16-Konvergensi!$B$64;2);PANGKAT(Normalisasi!$K$16-Konvergensi!$C$64;2);PANGKAT(Normalisasi!$L$16-Konvergensi!$D$64;2);PANGKAT(Normalisasi!$M$16-Konvergensi!$E$64;2);PANGKAT(Normalisasi!$N$16-Konvergensi!$F$64;2);PANGKAT(Normalisasi!$O$16-Konvergensi!$G$64;2);PANGKAT(Normalisasi!$P$16-Konvergensi!$H$64;2)))</f>
        <v/>
      </c>
      <c r="D90">
        <f>AKAR(JUMLAH(PANGKAT(Normalisasi!$J$16-Konvergensi!$B$65;2);PANGKAT(Normalisasi!$K$16-Konvergensi!$C$65;2);PANGKAT(Normalisasi!$L$16-Konvergensi!$D$65;2);PANGKAT(Normalisasi!$M$16-Konvergensi!$E$65;2);PANGKAT(Normalisasi!$N$16-Konvergensi!$F$65;2);PANGKAT(Normalisasi!$O$16-Konvergensi!$G$65;2);PANGKAT(Normalisasi!$P$16-Konvergensi!$H$65;2)))</f>
        <v/>
      </c>
      <c r="E90">
        <f>AKAR(JUMLAH(PANGKAT(Normalisasi!$J$16-Konvergensi!$B$66;2);PANGKAT(Normalisasi!$K$16-Konvergensi!$C$66;2);PANGKAT(Normalisasi!$L$16-Konvergensi!$D$66;2);PANGKAT(Normalisasi!$M$16-Konvergensi!$E$66;2);PANGKAT(Normalisasi!$N$16-Konvergensi!$F$66;2);PANGKAT(Normalisasi!$O$16-Konvergensi!$G$66;2);PANGKAT(Normalisasi!$P$16-Konvergensi!$H$66;2)))</f>
        <v/>
      </c>
      <c r="F90">
        <f>JIKA(C90&lt;=D90;=JIKA(C90&lt;=E90;0;2);=JIKA(D90&lt;=E90;1;2))</f>
        <v/>
      </c>
      <c r="G90">
        <f>JUMLAH(JIKA(F90=0;JUMLAH(PANGKAT(Normalisasi!$J$16-Konvergensi!$B$129;2);PANGKAT(Normalisasi!$K$16-Konvergensi!$C$129;2);PANGKAT(Normalisasi!$L$16-Konvergensi!$D$129;2);PANGKAT(Normalisasi!$M$16-Konvergensi!$E$129;2);PANGKAT(Normalisasi!$N$16-Konvergensi!$F$129;2);PANGKAT(Normalisasi!$O$16-Konvergensi!$G$129;2);PANGKAT(Normalisasi!$P$16-Konvergensi!$H$129;2));0);JIKA(F90=1;JUMLAH(PANGKAT(Normalisasi!$J$16-Konvergensi!$B$130;2);PANGKAT(Normalisasi!$K$16-Konvergensi!$C$130;2);PANGKAT(Normalisasi!$L$16-Konvergensi!$D$130;2);PANGKAT(Normalisasi!$M$16-Konvergensi!$E$130;2);PANGKAT(Normalisasi!$N$16-Konvergensi!$F$130;2);PANGKAT(Normalisasi!$O$16-Konvergensi!$G$130;2);PANGKAT(Normalisasi!$P$16-Konvergensi!$H$130;2));0);JIKA(F90=2;JUMLAH(PANGKAT(Normalisasi!$J$16-Konvergensi!$B$131;2);PANGKAT(Normalisasi!$K$16-Konvergensi!$C$131;2);PANGKAT(Normalisasi!$L$16-Konvergensi!$D$131;2);PANGKAT(Normalisasi!$M$16-Konvergensi!$E$131;2);PANGKAT(Normalisasi!$N$16-Konvergensi!$F$131;2);PANGKAT(Normalisasi!$O$16-Konvergensi!$G$131;2);PANGKAT(Normalisasi!$P$16-Konvergensi!$H$131;2));0))</f>
        <v/>
      </c>
      <c r="H90" t="n">
        <v>1</v>
      </c>
      <c r="I90" t="n">
        <v>7.769736498415128</v>
      </c>
    </row>
    <row r="91">
      <c r="A91">
        <f>Data_Awal!A17</f>
        <v/>
      </c>
      <c r="B91">
        <f>Data_Awal!B17</f>
        <v/>
      </c>
      <c r="C91">
        <f>AKAR(JUMLAH(PANGKAT(Normalisasi!$J$17-Konvergensi!$B$64;2);PANGKAT(Normalisasi!$K$17-Konvergensi!$C$64;2);PANGKAT(Normalisasi!$L$17-Konvergensi!$D$64;2);PANGKAT(Normalisasi!$M$17-Konvergensi!$E$64;2);PANGKAT(Normalisasi!$N$17-Konvergensi!$F$64;2);PANGKAT(Normalisasi!$O$17-Konvergensi!$G$64;2);PANGKAT(Normalisasi!$P$17-Konvergensi!$H$64;2)))</f>
        <v/>
      </c>
      <c r="D91">
        <f>AKAR(JUMLAH(PANGKAT(Normalisasi!$J$17-Konvergensi!$B$65;2);PANGKAT(Normalisasi!$K$17-Konvergensi!$C$65;2);PANGKAT(Normalisasi!$L$17-Konvergensi!$D$65;2);PANGKAT(Normalisasi!$M$17-Konvergensi!$E$65;2);PANGKAT(Normalisasi!$N$17-Konvergensi!$F$65;2);PANGKAT(Normalisasi!$O$17-Konvergensi!$G$65;2);PANGKAT(Normalisasi!$P$17-Konvergensi!$H$65;2)))</f>
        <v/>
      </c>
      <c r="E91">
        <f>AKAR(JUMLAH(PANGKAT(Normalisasi!$J$17-Konvergensi!$B$66;2);PANGKAT(Normalisasi!$K$17-Konvergensi!$C$66;2);PANGKAT(Normalisasi!$L$17-Konvergensi!$D$66;2);PANGKAT(Normalisasi!$M$17-Konvergensi!$E$66;2);PANGKAT(Normalisasi!$N$17-Konvergensi!$F$66;2);PANGKAT(Normalisasi!$O$17-Konvergensi!$G$66;2);PANGKAT(Normalisasi!$P$17-Konvergensi!$H$66;2)))</f>
        <v/>
      </c>
      <c r="F91">
        <f>JIKA(C91&lt;=D91;=JIKA(C91&lt;=E91;0;2);=JIKA(D91&lt;=E91;1;2))</f>
        <v/>
      </c>
      <c r="G91">
        <f>JUMLAH(JIKA(F91=0;JUMLAH(PANGKAT(Normalisasi!$J$17-Konvergensi!$B$129;2);PANGKAT(Normalisasi!$K$17-Konvergensi!$C$129;2);PANGKAT(Normalisasi!$L$17-Konvergensi!$D$129;2);PANGKAT(Normalisasi!$M$17-Konvergensi!$E$129;2);PANGKAT(Normalisasi!$N$17-Konvergensi!$F$129;2);PANGKAT(Normalisasi!$O$17-Konvergensi!$G$129;2);PANGKAT(Normalisasi!$P$17-Konvergensi!$H$129;2));0);JIKA(F91=1;JUMLAH(PANGKAT(Normalisasi!$J$17-Konvergensi!$B$130;2);PANGKAT(Normalisasi!$K$17-Konvergensi!$C$130;2);PANGKAT(Normalisasi!$L$17-Konvergensi!$D$130;2);PANGKAT(Normalisasi!$M$17-Konvergensi!$E$130;2);PANGKAT(Normalisasi!$N$17-Konvergensi!$F$130;2);PANGKAT(Normalisasi!$O$17-Konvergensi!$G$130;2);PANGKAT(Normalisasi!$P$17-Konvergensi!$H$130;2));0);JIKA(F91=2;JUMLAH(PANGKAT(Normalisasi!$J$17-Konvergensi!$B$131;2);PANGKAT(Normalisasi!$K$17-Konvergensi!$C$131;2);PANGKAT(Normalisasi!$L$17-Konvergensi!$D$131;2);PANGKAT(Normalisasi!$M$17-Konvergensi!$E$131;2);PANGKAT(Normalisasi!$N$17-Konvergensi!$F$131;2);PANGKAT(Normalisasi!$O$17-Konvergensi!$G$131;2);PANGKAT(Normalisasi!$P$17-Konvergensi!$H$131;2));0))</f>
        <v/>
      </c>
      <c r="H91" t="n">
        <v>1</v>
      </c>
      <c r="I91" t="n">
        <v>3.516929456132632</v>
      </c>
    </row>
    <row r="92">
      <c r="A92">
        <f>Data_Awal!A18</f>
        <v/>
      </c>
      <c r="B92">
        <f>Data_Awal!B18</f>
        <v/>
      </c>
      <c r="C92">
        <f>AKAR(JUMLAH(PANGKAT(Normalisasi!$J$18-Konvergensi!$B$64;2);PANGKAT(Normalisasi!$K$18-Konvergensi!$C$64;2);PANGKAT(Normalisasi!$L$18-Konvergensi!$D$64;2);PANGKAT(Normalisasi!$M$18-Konvergensi!$E$64;2);PANGKAT(Normalisasi!$N$18-Konvergensi!$F$64;2);PANGKAT(Normalisasi!$O$18-Konvergensi!$G$64;2);PANGKAT(Normalisasi!$P$18-Konvergensi!$H$64;2)))</f>
        <v/>
      </c>
      <c r="D92">
        <f>AKAR(JUMLAH(PANGKAT(Normalisasi!$J$18-Konvergensi!$B$65;2);PANGKAT(Normalisasi!$K$18-Konvergensi!$C$65;2);PANGKAT(Normalisasi!$L$18-Konvergensi!$D$65;2);PANGKAT(Normalisasi!$M$18-Konvergensi!$E$65;2);PANGKAT(Normalisasi!$N$18-Konvergensi!$F$65;2);PANGKAT(Normalisasi!$O$18-Konvergensi!$G$65;2);PANGKAT(Normalisasi!$P$18-Konvergensi!$H$65;2)))</f>
        <v/>
      </c>
      <c r="E92">
        <f>AKAR(JUMLAH(PANGKAT(Normalisasi!$J$18-Konvergensi!$B$66;2);PANGKAT(Normalisasi!$K$18-Konvergensi!$C$66;2);PANGKAT(Normalisasi!$L$18-Konvergensi!$D$66;2);PANGKAT(Normalisasi!$M$18-Konvergensi!$E$66;2);PANGKAT(Normalisasi!$N$18-Konvergensi!$F$66;2);PANGKAT(Normalisasi!$O$18-Konvergensi!$G$66;2);PANGKAT(Normalisasi!$P$18-Konvergensi!$H$66;2)))</f>
        <v/>
      </c>
      <c r="F92">
        <f>JIKA(C92&lt;=D92;=JIKA(C92&lt;=E92;0;2);=JIKA(D92&lt;=E92;1;2))</f>
        <v/>
      </c>
      <c r="G92">
        <f>JUMLAH(JIKA(F92=0;JUMLAH(PANGKAT(Normalisasi!$J$18-Konvergensi!$B$129;2);PANGKAT(Normalisasi!$K$18-Konvergensi!$C$129;2);PANGKAT(Normalisasi!$L$18-Konvergensi!$D$129;2);PANGKAT(Normalisasi!$M$18-Konvergensi!$E$129;2);PANGKAT(Normalisasi!$N$18-Konvergensi!$F$129;2);PANGKAT(Normalisasi!$O$18-Konvergensi!$G$129;2);PANGKAT(Normalisasi!$P$18-Konvergensi!$H$129;2));0);JIKA(F92=1;JUMLAH(PANGKAT(Normalisasi!$J$18-Konvergensi!$B$130;2);PANGKAT(Normalisasi!$K$18-Konvergensi!$C$130;2);PANGKAT(Normalisasi!$L$18-Konvergensi!$D$130;2);PANGKAT(Normalisasi!$M$18-Konvergensi!$E$130;2);PANGKAT(Normalisasi!$N$18-Konvergensi!$F$130;2);PANGKAT(Normalisasi!$O$18-Konvergensi!$G$130;2);PANGKAT(Normalisasi!$P$18-Konvergensi!$H$130;2));0);JIKA(F92=2;JUMLAH(PANGKAT(Normalisasi!$J$18-Konvergensi!$B$131;2);PANGKAT(Normalisasi!$K$18-Konvergensi!$C$131;2);PANGKAT(Normalisasi!$L$18-Konvergensi!$D$131;2);PANGKAT(Normalisasi!$M$18-Konvergensi!$E$131;2);PANGKAT(Normalisasi!$N$18-Konvergensi!$F$131;2);PANGKAT(Normalisasi!$O$18-Konvergensi!$G$131;2);PANGKAT(Normalisasi!$P$18-Konvergensi!$H$131;2));0))</f>
        <v/>
      </c>
      <c r="H92" t="n">
        <v>0</v>
      </c>
      <c r="I92" t="n">
        <v>6.520958111752535</v>
      </c>
    </row>
    <row r="93">
      <c r="A93">
        <f>Data_Awal!A19</f>
        <v/>
      </c>
      <c r="B93">
        <f>Data_Awal!B19</f>
        <v/>
      </c>
      <c r="C93">
        <f>AKAR(JUMLAH(PANGKAT(Normalisasi!$J$19-Konvergensi!$B$64;2);PANGKAT(Normalisasi!$K$19-Konvergensi!$C$64;2);PANGKAT(Normalisasi!$L$19-Konvergensi!$D$64;2);PANGKAT(Normalisasi!$M$19-Konvergensi!$E$64;2);PANGKAT(Normalisasi!$N$19-Konvergensi!$F$64;2);PANGKAT(Normalisasi!$O$19-Konvergensi!$G$64;2);PANGKAT(Normalisasi!$P$19-Konvergensi!$H$64;2)))</f>
        <v/>
      </c>
      <c r="D93">
        <f>AKAR(JUMLAH(PANGKAT(Normalisasi!$J$19-Konvergensi!$B$65;2);PANGKAT(Normalisasi!$K$19-Konvergensi!$C$65;2);PANGKAT(Normalisasi!$L$19-Konvergensi!$D$65;2);PANGKAT(Normalisasi!$M$19-Konvergensi!$E$65;2);PANGKAT(Normalisasi!$N$19-Konvergensi!$F$65;2);PANGKAT(Normalisasi!$O$19-Konvergensi!$G$65;2);PANGKAT(Normalisasi!$P$19-Konvergensi!$H$65;2)))</f>
        <v/>
      </c>
      <c r="E93">
        <f>AKAR(JUMLAH(PANGKAT(Normalisasi!$J$19-Konvergensi!$B$66;2);PANGKAT(Normalisasi!$K$19-Konvergensi!$C$66;2);PANGKAT(Normalisasi!$L$19-Konvergensi!$D$66;2);PANGKAT(Normalisasi!$M$19-Konvergensi!$E$66;2);PANGKAT(Normalisasi!$N$19-Konvergensi!$F$66;2);PANGKAT(Normalisasi!$O$19-Konvergensi!$G$66;2);PANGKAT(Normalisasi!$P$19-Konvergensi!$H$66;2)))</f>
        <v/>
      </c>
      <c r="F93">
        <f>JIKA(C93&lt;=D93;=JIKA(C93&lt;=E93;0;2);=JIKA(D93&lt;=E93;1;2))</f>
        <v/>
      </c>
      <c r="G93">
        <f>JUMLAH(JIKA(F93=0;JUMLAH(PANGKAT(Normalisasi!$J$19-Konvergensi!$B$129;2);PANGKAT(Normalisasi!$K$19-Konvergensi!$C$129;2);PANGKAT(Normalisasi!$L$19-Konvergensi!$D$129;2);PANGKAT(Normalisasi!$M$19-Konvergensi!$E$129;2);PANGKAT(Normalisasi!$N$19-Konvergensi!$F$129;2);PANGKAT(Normalisasi!$O$19-Konvergensi!$G$129;2);PANGKAT(Normalisasi!$P$19-Konvergensi!$H$129;2));0);JIKA(F93=1;JUMLAH(PANGKAT(Normalisasi!$J$19-Konvergensi!$B$130;2);PANGKAT(Normalisasi!$K$19-Konvergensi!$C$130;2);PANGKAT(Normalisasi!$L$19-Konvergensi!$D$130;2);PANGKAT(Normalisasi!$M$19-Konvergensi!$E$130;2);PANGKAT(Normalisasi!$N$19-Konvergensi!$F$130;2);PANGKAT(Normalisasi!$O$19-Konvergensi!$G$130;2);PANGKAT(Normalisasi!$P$19-Konvergensi!$H$130;2));0);JIKA(F93=2;JUMLAH(PANGKAT(Normalisasi!$J$19-Konvergensi!$B$131;2);PANGKAT(Normalisasi!$K$19-Konvergensi!$C$131;2);PANGKAT(Normalisasi!$L$19-Konvergensi!$D$131;2);PANGKAT(Normalisasi!$M$19-Konvergensi!$E$131;2);PANGKAT(Normalisasi!$N$19-Konvergensi!$F$131;2);PANGKAT(Normalisasi!$O$19-Konvergensi!$G$131;2);PANGKAT(Normalisasi!$P$19-Konvergensi!$H$131;2));0))</f>
        <v/>
      </c>
      <c r="H93" t="n">
        <v>0</v>
      </c>
      <c r="I93" t="n">
        <v>2.983462781049606</v>
      </c>
    </row>
    <row r="94">
      <c r="A94">
        <f>Data_Awal!A20</f>
        <v/>
      </c>
      <c r="B94">
        <f>Data_Awal!B20</f>
        <v/>
      </c>
      <c r="C94">
        <f>AKAR(JUMLAH(PANGKAT(Normalisasi!$J$20-Konvergensi!$B$64;2);PANGKAT(Normalisasi!$K$20-Konvergensi!$C$64;2);PANGKAT(Normalisasi!$L$20-Konvergensi!$D$64;2);PANGKAT(Normalisasi!$M$20-Konvergensi!$E$64;2);PANGKAT(Normalisasi!$N$20-Konvergensi!$F$64;2);PANGKAT(Normalisasi!$O$20-Konvergensi!$G$64;2);PANGKAT(Normalisasi!$P$20-Konvergensi!$H$64;2)))</f>
        <v/>
      </c>
      <c r="D94">
        <f>AKAR(JUMLAH(PANGKAT(Normalisasi!$J$20-Konvergensi!$B$65;2);PANGKAT(Normalisasi!$K$20-Konvergensi!$C$65;2);PANGKAT(Normalisasi!$L$20-Konvergensi!$D$65;2);PANGKAT(Normalisasi!$M$20-Konvergensi!$E$65;2);PANGKAT(Normalisasi!$N$20-Konvergensi!$F$65;2);PANGKAT(Normalisasi!$O$20-Konvergensi!$G$65;2);PANGKAT(Normalisasi!$P$20-Konvergensi!$H$65;2)))</f>
        <v/>
      </c>
      <c r="E94">
        <f>AKAR(JUMLAH(PANGKAT(Normalisasi!$J$20-Konvergensi!$B$66;2);PANGKAT(Normalisasi!$K$20-Konvergensi!$C$66;2);PANGKAT(Normalisasi!$L$20-Konvergensi!$D$66;2);PANGKAT(Normalisasi!$M$20-Konvergensi!$E$66;2);PANGKAT(Normalisasi!$N$20-Konvergensi!$F$66;2);PANGKAT(Normalisasi!$O$20-Konvergensi!$G$66;2);PANGKAT(Normalisasi!$P$20-Konvergensi!$H$66;2)))</f>
        <v/>
      </c>
      <c r="F94">
        <f>JIKA(C94&lt;=D94;=JIKA(C94&lt;=E94;0;2);=JIKA(D94&lt;=E94;1;2))</f>
        <v/>
      </c>
      <c r="G94">
        <f>JUMLAH(JIKA(F94=0;JUMLAH(PANGKAT(Normalisasi!$J$20-Konvergensi!$B$129;2);PANGKAT(Normalisasi!$K$20-Konvergensi!$C$129;2);PANGKAT(Normalisasi!$L$20-Konvergensi!$D$129;2);PANGKAT(Normalisasi!$M$20-Konvergensi!$E$129;2);PANGKAT(Normalisasi!$N$20-Konvergensi!$F$129;2);PANGKAT(Normalisasi!$O$20-Konvergensi!$G$129;2);PANGKAT(Normalisasi!$P$20-Konvergensi!$H$129;2));0);JIKA(F94=1;JUMLAH(PANGKAT(Normalisasi!$J$20-Konvergensi!$B$130;2);PANGKAT(Normalisasi!$K$20-Konvergensi!$C$130;2);PANGKAT(Normalisasi!$L$20-Konvergensi!$D$130;2);PANGKAT(Normalisasi!$M$20-Konvergensi!$E$130;2);PANGKAT(Normalisasi!$N$20-Konvergensi!$F$130;2);PANGKAT(Normalisasi!$O$20-Konvergensi!$G$130;2);PANGKAT(Normalisasi!$P$20-Konvergensi!$H$130;2));0);JIKA(F94=2;JUMLAH(PANGKAT(Normalisasi!$J$20-Konvergensi!$B$131;2);PANGKAT(Normalisasi!$K$20-Konvergensi!$C$131;2);PANGKAT(Normalisasi!$L$20-Konvergensi!$D$131;2);PANGKAT(Normalisasi!$M$20-Konvergensi!$E$131;2);PANGKAT(Normalisasi!$N$20-Konvergensi!$F$131;2);PANGKAT(Normalisasi!$O$20-Konvergensi!$G$131;2);PANGKAT(Normalisasi!$P$20-Konvergensi!$H$131;2));0))</f>
        <v/>
      </c>
      <c r="H94" t="n">
        <v>0</v>
      </c>
      <c r="I94" t="n">
        <v>6.221083769903006</v>
      </c>
    </row>
    <row r="95">
      <c r="A95">
        <f>Data_Awal!A21</f>
        <v/>
      </c>
      <c r="B95">
        <f>Data_Awal!B21</f>
        <v/>
      </c>
      <c r="C95">
        <f>AKAR(JUMLAH(PANGKAT(Normalisasi!$J$21-Konvergensi!$B$64;2);PANGKAT(Normalisasi!$K$21-Konvergensi!$C$64;2);PANGKAT(Normalisasi!$L$21-Konvergensi!$D$64;2);PANGKAT(Normalisasi!$M$21-Konvergensi!$E$64;2);PANGKAT(Normalisasi!$N$21-Konvergensi!$F$64;2);PANGKAT(Normalisasi!$O$21-Konvergensi!$G$64;2);PANGKAT(Normalisasi!$P$21-Konvergensi!$H$64;2)))</f>
        <v/>
      </c>
      <c r="D95">
        <f>AKAR(JUMLAH(PANGKAT(Normalisasi!$J$21-Konvergensi!$B$65;2);PANGKAT(Normalisasi!$K$21-Konvergensi!$C$65;2);PANGKAT(Normalisasi!$L$21-Konvergensi!$D$65;2);PANGKAT(Normalisasi!$M$21-Konvergensi!$E$65;2);PANGKAT(Normalisasi!$N$21-Konvergensi!$F$65;2);PANGKAT(Normalisasi!$O$21-Konvergensi!$G$65;2);PANGKAT(Normalisasi!$P$21-Konvergensi!$H$65;2)))</f>
        <v/>
      </c>
      <c r="E95">
        <f>AKAR(JUMLAH(PANGKAT(Normalisasi!$J$21-Konvergensi!$B$66;2);PANGKAT(Normalisasi!$K$21-Konvergensi!$C$66;2);PANGKAT(Normalisasi!$L$21-Konvergensi!$D$66;2);PANGKAT(Normalisasi!$M$21-Konvergensi!$E$66;2);PANGKAT(Normalisasi!$N$21-Konvergensi!$F$66;2);PANGKAT(Normalisasi!$O$21-Konvergensi!$G$66;2);PANGKAT(Normalisasi!$P$21-Konvergensi!$H$66;2)))</f>
        <v/>
      </c>
      <c r="F95">
        <f>JIKA(C95&lt;=D95;=JIKA(C95&lt;=E95;0;2);=JIKA(D95&lt;=E95;1;2))</f>
        <v/>
      </c>
      <c r="G95">
        <f>JUMLAH(JIKA(F95=0;JUMLAH(PANGKAT(Normalisasi!$J$21-Konvergensi!$B$129;2);PANGKAT(Normalisasi!$K$21-Konvergensi!$C$129;2);PANGKAT(Normalisasi!$L$21-Konvergensi!$D$129;2);PANGKAT(Normalisasi!$M$21-Konvergensi!$E$129;2);PANGKAT(Normalisasi!$N$21-Konvergensi!$F$129;2);PANGKAT(Normalisasi!$O$21-Konvergensi!$G$129;2);PANGKAT(Normalisasi!$P$21-Konvergensi!$H$129;2));0);JIKA(F95=1;JUMLAH(PANGKAT(Normalisasi!$J$21-Konvergensi!$B$130;2);PANGKAT(Normalisasi!$K$21-Konvergensi!$C$130;2);PANGKAT(Normalisasi!$L$21-Konvergensi!$D$130;2);PANGKAT(Normalisasi!$M$21-Konvergensi!$E$130;2);PANGKAT(Normalisasi!$N$21-Konvergensi!$F$130;2);PANGKAT(Normalisasi!$O$21-Konvergensi!$G$130;2);PANGKAT(Normalisasi!$P$21-Konvergensi!$H$130;2));0);JIKA(F95=2;JUMLAH(PANGKAT(Normalisasi!$J$21-Konvergensi!$B$131;2);PANGKAT(Normalisasi!$K$21-Konvergensi!$C$131;2);PANGKAT(Normalisasi!$L$21-Konvergensi!$D$131;2);PANGKAT(Normalisasi!$M$21-Konvergensi!$E$131;2);PANGKAT(Normalisasi!$N$21-Konvergensi!$F$131;2);PANGKAT(Normalisasi!$O$21-Konvergensi!$G$131;2);PANGKAT(Normalisasi!$P$21-Konvergensi!$H$131;2));0))</f>
        <v/>
      </c>
      <c r="H95" t="n">
        <v>2</v>
      </c>
      <c r="I95" t="n">
        <v>5.590820574417326</v>
      </c>
    </row>
    <row r="96">
      <c r="A96">
        <f>Data_Awal!A22</f>
        <v/>
      </c>
      <c r="B96">
        <f>Data_Awal!B22</f>
        <v/>
      </c>
      <c r="C96">
        <f>AKAR(JUMLAH(PANGKAT(Normalisasi!$J$22-Konvergensi!$B$64;2);PANGKAT(Normalisasi!$K$22-Konvergensi!$C$64;2);PANGKAT(Normalisasi!$L$22-Konvergensi!$D$64;2);PANGKAT(Normalisasi!$M$22-Konvergensi!$E$64;2);PANGKAT(Normalisasi!$N$22-Konvergensi!$F$64;2);PANGKAT(Normalisasi!$O$22-Konvergensi!$G$64;2);PANGKAT(Normalisasi!$P$22-Konvergensi!$H$64;2)))</f>
        <v/>
      </c>
      <c r="D96">
        <f>AKAR(JUMLAH(PANGKAT(Normalisasi!$J$22-Konvergensi!$B$65;2);PANGKAT(Normalisasi!$K$22-Konvergensi!$C$65;2);PANGKAT(Normalisasi!$L$22-Konvergensi!$D$65;2);PANGKAT(Normalisasi!$M$22-Konvergensi!$E$65;2);PANGKAT(Normalisasi!$N$22-Konvergensi!$F$65;2);PANGKAT(Normalisasi!$O$22-Konvergensi!$G$65;2);PANGKAT(Normalisasi!$P$22-Konvergensi!$H$65;2)))</f>
        <v/>
      </c>
      <c r="E96">
        <f>AKAR(JUMLAH(PANGKAT(Normalisasi!$J$22-Konvergensi!$B$66;2);PANGKAT(Normalisasi!$K$22-Konvergensi!$C$66;2);PANGKAT(Normalisasi!$L$22-Konvergensi!$D$66;2);PANGKAT(Normalisasi!$M$22-Konvergensi!$E$66;2);PANGKAT(Normalisasi!$N$22-Konvergensi!$F$66;2);PANGKAT(Normalisasi!$O$22-Konvergensi!$G$66;2);PANGKAT(Normalisasi!$P$22-Konvergensi!$H$66;2)))</f>
        <v/>
      </c>
      <c r="F96">
        <f>JIKA(C96&lt;=D96;=JIKA(C96&lt;=E96;0;2);=JIKA(D96&lt;=E96;1;2))</f>
        <v/>
      </c>
      <c r="G96">
        <f>JUMLAH(JIKA(F96=0;JUMLAH(PANGKAT(Normalisasi!$J$22-Konvergensi!$B$129;2);PANGKAT(Normalisasi!$K$22-Konvergensi!$C$129;2);PANGKAT(Normalisasi!$L$22-Konvergensi!$D$129;2);PANGKAT(Normalisasi!$M$22-Konvergensi!$E$129;2);PANGKAT(Normalisasi!$N$22-Konvergensi!$F$129;2);PANGKAT(Normalisasi!$O$22-Konvergensi!$G$129;2);PANGKAT(Normalisasi!$P$22-Konvergensi!$H$129;2));0);JIKA(F96=1;JUMLAH(PANGKAT(Normalisasi!$J$22-Konvergensi!$B$130;2);PANGKAT(Normalisasi!$K$22-Konvergensi!$C$130;2);PANGKAT(Normalisasi!$L$22-Konvergensi!$D$130;2);PANGKAT(Normalisasi!$M$22-Konvergensi!$E$130;2);PANGKAT(Normalisasi!$N$22-Konvergensi!$F$130;2);PANGKAT(Normalisasi!$O$22-Konvergensi!$G$130;2);PANGKAT(Normalisasi!$P$22-Konvergensi!$H$130;2));0);JIKA(F96=2;JUMLAH(PANGKAT(Normalisasi!$J$22-Konvergensi!$B$131;2);PANGKAT(Normalisasi!$K$22-Konvergensi!$C$131;2);PANGKAT(Normalisasi!$L$22-Konvergensi!$D$131;2);PANGKAT(Normalisasi!$M$22-Konvergensi!$E$131;2);PANGKAT(Normalisasi!$N$22-Konvergensi!$F$131;2);PANGKAT(Normalisasi!$O$22-Konvergensi!$G$131;2);PANGKAT(Normalisasi!$P$22-Konvergensi!$H$131;2));0))</f>
        <v/>
      </c>
      <c r="H96" t="n">
        <v>0</v>
      </c>
      <c r="I96" t="n">
        <v>7.226396900625355</v>
      </c>
    </row>
    <row r="97">
      <c r="A97">
        <f>Data_Awal!A23</f>
        <v/>
      </c>
      <c r="B97">
        <f>Data_Awal!B23</f>
        <v/>
      </c>
      <c r="C97">
        <f>AKAR(JUMLAH(PANGKAT(Normalisasi!$J$23-Konvergensi!$B$64;2);PANGKAT(Normalisasi!$K$23-Konvergensi!$C$64;2);PANGKAT(Normalisasi!$L$23-Konvergensi!$D$64;2);PANGKAT(Normalisasi!$M$23-Konvergensi!$E$64;2);PANGKAT(Normalisasi!$N$23-Konvergensi!$F$64;2);PANGKAT(Normalisasi!$O$23-Konvergensi!$G$64;2);PANGKAT(Normalisasi!$P$23-Konvergensi!$H$64;2)))</f>
        <v/>
      </c>
      <c r="D97">
        <f>AKAR(JUMLAH(PANGKAT(Normalisasi!$J$23-Konvergensi!$B$65;2);PANGKAT(Normalisasi!$K$23-Konvergensi!$C$65;2);PANGKAT(Normalisasi!$L$23-Konvergensi!$D$65;2);PANGKAT(Normalisasi!$M$23-Konvergensi!$E$65;2);PANGKAT(Normalisasi!$N$23-Konvergensi!$F$65;2);PANGKAT(Normalisasi!$O$23-Konvergensi!$G$65;2);PANGKAT(Normalisasi!$P$23-Konvergensi!$H$65;2)))</f>
        <v/>
      </c>
      <c r="E97">
        <f>AKAR(JUMLAH(PANGKAT(Normalisasi!$J$23-Konvergensi!$B$66;2);PANGKAT(Normalisasi!$K$23-Konvergensi!$C$66;2);PANGKAT(Normalisasi!$L$23-Konvergensi!$D$66;2);PANGKAT(Normalisasi!$M$23-Konvergensi!$E$66;2);PANGKAT(Normalisasi!$N$23-Konvergensi!$F$66;2);PANGKAT(Normalisasi!$O$23-Konvergensi!$G$66;2);PANGKAT(Normalisasi!$P$23-Konvergensi!$H$66;2)))</f>
        <v/>
      </c>
      <c r="F97">
        <f>JIKA(C97&lt;=D97;=JIKA(C97&lt;=E97;0;2);=JIKA(D97&lt;=E97;1;2))</f>
        <v/>
      </c>
      <c r="G97">
        <f>JUMLAH(JIKA(F97=0;JUMLAH(PANGKAT(Normalisasi!$J$23-Konvergensi!$B$129;2);PANGKAT(Normalisasi!$K$23-Konvergensi!$C$129;2);PANGKAT(Normalisasi!$L$23-Konvergensi!$D$129;2);PANGKAT(Normalisasi!$M$23-Konvergensi!$E$129;2);PANGKAT(Normalisasi!$N$23-Konvergensi!$F$129;2);PANGKAT(Normalisasi!$O$23-Konvergensi!$G$129;2);PANGKAT(Normalisasi!$P$23-Konvergensi!$H$129;2));0);JIKA(F97=1;JUMLAH(PANGKAT(Normalisasi!$J$23-Konvergensi!$B$130;2);PANGKAT(Normalisasi!$K$23-Konvergensi!$C$130;2);PANGKAT(Normalisasi!$L$23-Konvergensi!$D$130;2);PANGKAT(Normalisasi!$M$23-Konvergensi!$E$130;2);PANGKAT(Normalisasi!$N$23-Konvergensi!$F$130;2);PANGKAT(Normalisasi!$O$23-Konvergensi!$G$130;2);PANGKAT(Normalisasi!$P$23-Konvergensi!$H$130;2));0);JIKA(F97=2;JUMLAH(PANGKAT(Normalisasi!$J$23-Konvergensi!$B$131;2);PANGKAT(Normalisasi!$K$23-Konvergensi!$C$131;2);PANGKAT(Normalisasi!$L$23-Konvergensi!$D$131;2);PANGKAT(Normalisasi!$M$23-Konvergensi!$E$131;2);PANGKAT(Normalisasi!$N$23-Konvergensi!$F$131;2);PANGKAT(Normalisasi!$O$23-Konvergensi!$G$131;2);PANGKAT(Normalisasi!$P$23-Konvergensi!$H$131;2));0))</f>
        <v/>
      </c>
      <c r="H97" t="n">
        <v>1</v>
      </c>
      <c r="I97" t="n">
        <v>6.268119608809372</v>
      </c>
    </row>
    <row r="98">
      <c r="A98">
        <f>Data_Awal!A24</f>
        <v/>
      </c>
      <c r="B98">
        <f>Data_Awal!B24</f>
        <v/>
      </c>
      <c r="C98">
        <f>AKAR(JUMLAH(PANGKAT(Normalisasi!$J$24-Konvergensi!$B$64;2);PANGKAT(Normalisasi!$K$24-Konvergensi!$C$64;2);PANGKAT(Normalisasi!$L$24-Konvergensi!$D$64;2);PANGKAT(Normalisasi!$M$24-Konvergensi!$E$64;2);PANGKAT(Normalisasi!$N$24-Konvergensi!$F$64;2);PANGKAT(Normalisasi!$O$24-Konvergensi!$G$64;2);PANGKAT(Normalisasi!$P$24-Konvergensi!$H$64;2)))</f>
        <v/>
      </c>
      <c r="D98">
        <f>AKAR(JUMLAH(PANGKAT(Normalisasi!$J$24-Konvergensi!$B$65;2);PANGKAT(Normalisasi!$K$24-Konvergensi!$C$65;2);PANGKAT(Normalisasi!$L$24-Konvergensi!$D$65;2);PANGKAT(Normalisasi!$M$24-Konvergensi!$E$65;2);PANGKAT(Normalisasi!$N$24-Konvergensi!$F$65;2);PANGKAT(Normalisasi!$O$24-Konvergensi!$G$65;2);PANGKAT(Normalisasi!$P$24-Konvergensi!$H$65;2)))</f>
        <v/>
      </c>
      <c r="E98">
        <f>AKAR(JUMLAH(PANGKAT(Normalisasi!$J$24-Konvergensi!$B$66;2);PANGKAT(Normalisasi!$K$24-Konvergensi!$C$66;2);PANGKAT(Normalisasi!$L$24-Konvergensi!$D$66;2);PANGKAT(Normalisasi!$M$24-Konvergensi!$E$66;2);PANGKAT(Normalisasi!$N$24-Konvergensi!$F$66;2);PANGKAT(Normalisasi!$O$24-Konvergensi!$G$66;2);PANGKAT(Normalisasi!$P$24-Konvergensi!$H$66;2)))</f>
        <v/>
      </c>
      <c r="F98">
        <f>JIKA(C98&lt;=D98;=JIKA(C98&lt;=E98;0;2);=JIKA(D98&lt;=E98;1;2))</f>
        <v/>
      </c>
      <c r="G98">
        <f>JUMLAH(JIKA(F98=0;JUMLAH(PANGKAT(Normalisasi!$J$24-Konvergensi!$B$129;2);PANGKAT(Normalisasi!$K$24-Konvergensi!$C$129;2);PANGKAT(Normalisasi!$L$24-Konvergensi!$D$129;2);PANGKAT(Normalisasi!$M$24-Konvergensi!$E$129;2);PANGKAT(Normalisasi!$N$24-Konvergensi!$F$129;2);PANGKAT(Normalisasi!$O$24-Konvergensi!$G$129;2);PANGKAT(Normalisasi!$P$24-Konvergensi!$H$129;2));0);JIKA(F98=1;JUMLAH(PANGKAT(Normalisasi!$J$24-Konvergensi!$B$130;2);PANGKAT(Normalisasi!$K$24-Konvergensi!$C$130;2);PANGKAT(Normalisasi!$L$24-Konvergensi!$D$130;2);PANGKAT(Normalisasi!$M$24-Konvergensi!$E$130;2);PANGKAT(Normalisasi!$N$24-Konvergensi!$F$130;2);PANGKAT(Normalisasi!$O$24-Konvergensi!$G$130;2);PANGKAT(Normalisasi!$P$24-Konvergensi!$H$130;2));0);JIKA(F98=2;JUMLAH(PANGKAT(Normalisasi!$J$24-Konvergensi!$B$131;2);PANGKAT(Normalisasi!$K$24-Konvergensi!$C$131;2);PANGKAT(Normalisasi!$L$24-Konvergensi!$D$131;2);PANGKAT(Normalisasi!$M$24-Konvergensi!$E$131;2);PANGKAT(Normalisasi!$N$24-Konvergensi!$F$131;2);PANGKAT(Normalisasi!$O$24-Konvergensi!$G$131;2);PANGKAT(Normalisasi!$P$24-Konvergensi!$H$131;2));0))</f>
        <v/>
      </c>
      <c r="H98" t="n">
        <v>2</v>
      </c>
      <c r="I98" t="n">
        <v>3.437428047793841</v>
      </c>
    </row>
    <row r="99">
      <c r="A99">
        <f>Data_Awal!A25</f>
        <v/>
      </c>
      <c r="B99">
        <f>Data_Awal!B25</f>
        <v/>
      </c>
      <c r="C99">
        <f>AKAR(JUMLAH(PANGKAT(Normalisasi!$J$25-Konvergensi!$B$64;2);PANGKAT(Normalisasi!$K$25-Konvergensi!$C$64;2);PANGKAT(Normalisasi!$L$25-Konvergensi!$D$64;2);PANGKAT(Normalisasi!$M$25-Konvergensi!$E$64;2);PANGKAT(Normalisasi!$N$25-Konvergensi!$F$64;2);PANGKAT(Normalisasi!$O$25-Konvergensi!$G$64;2);PANGKAT(Normalisasi!$P$25-Konvergensi!$H$64;2)))</f>
        <v/>
      </c>
      <c r="D99">
        <f>AKAR(JUMLAH(PANGKAT(Normalisasi!$J$25-Konvergensi!$B$65;2);PANGKAT(Normalisasi!$K$25-Konvergensi!$C$65;2);PANGKAT(Normalisasi!$L$25-Konvergensi!$D$65;2);PANGKAT(Normalisasi!$M$25-Konvergensi!$E$65;2);PANGKAT(Normalisasi!$N$25-Konvergensi!$F$65;2);PANGKAT(Normalisasi!$O$25-Konvergensi!$G$65;2);PANGKAT(Normalisasi!$P$25-Konvergensi!$H$65;2)))</f>
        <v/>
      </c>
      <c r="E99">
        <f>AKAR(JUMLAH(PANGKAT(Normalisasi!$J$25-Konvergensi!$B$66;2);PANGKAT(Normalisasi!$K$25-Konvergensi!$C$66;2);PANGKAT(Normalisasi!$L$25-Konvergensi!$D$66;2);PANGKAT(Normalisasi!$M$25-Konvergensi!$E$66;2);PANGKAT(Normalisasi!$N$25-Konvergensi!$F$66;2);PANGKAT(Normalisasi!$O$25-Konvergensi!$G$66;2);PANGKAT(Normalisasi!$P$25-Konvergensi!$H$66;2)))</f>
        <v/>
      </c>
      <c r="F99">
        <f>JIKA(C99&lt;=D99;=JIKA(C99&lt;=E99;0;2);=JIKA(D99&lt;=E99;1;2))</f>
        <v/>
      </c>
      <c r="G99">
        <f>JUMLAH(JIKA(F99=0;JUMLAH(PANGKAT(Normalisasi!$J$25-Konvergensi!$B$129;2);PANGKAT(Normalisasi!$K$25-Konvergensi!$C$129;2);PANGKAT(Normalisasi!$L$25-Konvergensi!$D$129;2);PANGKAT(Normalisasi!$M$25-Konvergensi!$E$129;2);PANGKAT(Normalisasi!$N$25-Konvergensi!$F$129;2);PANGKAT(Normalisasi!$O$25-Konvergensi!$G$129;2);PANGKAT(Normalisasi!$P$25-Konvergensi!$H$129;2));0);JIKA(F99=1;JUMLAH(PANGKAT(Normalisasi!$J$25-Konvergensi!$B$130;2);PANGKAT(Normalisasi!$K$25-Konvergensi!$C$130;2);PANGKAT(Normalisasi!$L$25-Konvergensi!$D$130;2);PANGKAT(Normalisasi!$M$25-Konvergensi!$E$130;2);PANGKAT(Normalisasi!$N$25-Konvergensi!$F$130;2);PANGKAT(Normalisasi!$O$25-Konvergensi!$G$130;2);PANGKAT(Normalisasi!$P$25-Konvergensi!$H$130;2));0);JIKA(F99=2;JUMLAH(PANGKAT(Normalisasi!$J$25-Konvergensi!$B$131;2);PANGKAT(Normalisasi!$K$25-Konvergensi!$C$131;2);PANGKAT(Normalisasi!$L$25-Konvergensi!$D$131;2);PANGKAT(Normalisasi!$M$25-Konvergensi!$E$131;2);PANGKAT(Normalisasi!$N$25-Konvergensi!$F$131;2);PANGKAT(Normalisasi!$O$25-Konvergensi!$G$131;2);PANGKAT(Normalisasi!$P$25-Konvergensi!$H$131;2));0))</f>
        <v/>
      </c>
      <c r="H99" t="n">
        <v>1</v>
      </c>
      <c r="I99" t="n">
        <v>3.927508727928172</v>
      </c>
    </row>
    <row r="100">
      <c r="A100">
        <f>Data_Awal!A26</f>
        <v/>
      </c>
      <c r="B100">
        <f>Data_Awal!B26</f>
        <v/>
      </c>
      <c r="C100">
        <f>AKAR(JUMLAH(PANGKAT(Normalisasi!$J$26-Konvergensi!$B$64;2);PANGKAT(Normalisasi!$K$26-Konvergensi!$C$64;2);PANGKAT(Normalisasi!$L$26-Konvergensi!$D$64;2);PANGKAT(Normalisasi!$M$26-Konvergensi!$E$64;2);PANGKAT(Normalisasi!$N$26-Konvergensi!$F$64;2);PANGKAT(Normalisasi!$O$26-Konvergensi!$G$64;2);PANGKAT(Normalisasi!$P$26-Konvergensi!$H$64;2)))</f>
        <v/>
      </c>
      <c r="D100">
        <f>AKAR(JUMLAH(PANGKAT(Normalisasi!$J$26-Konvergensi!$B$65;2);PANGKAT(Normalisasi!$K$26-Konvergensi!$C$65;2);PANGKAT(Normalisasi!$L$26-Konvergensi!$D$65;2);PANGKAT(Normalisasi!$M$26-Konvergensi!$E$65;2);PANGKAT(Normalisasi!$N$26-Konvergensi!$F$65;2);PANGKAT(Normalisasi!$O$26-Konvergensi!$G$65;2);PANGKAT(Normalisasi!$P$26-Konvergensi!$H$65;2)))</f>
        <v/>
      </c>
      <c r="E100">
        <f>AKAR(JUMLAH(PANGKAT(Normalisasi!$J$26-Konvergensi!$B$66;2);PANGKAT(Normalisasi!$K$26-Konvergensi!$C$66;2);PANGKAT(Normalisasi!$L$26-Konvergensi!$D$66;2);PANGKAT(Normalisasi!$M$26-Konvergensi!$E$66;2);PANGKAT(Normalisasi!$N$26-Konvergensi!$F$66;2);PANGKAT(Normalisasi!$O$26-Konvergensi!$G$66;2);PANGKAT(Normalisasi!$P$26-Konvergensi!$H$66;2)))</f>
        <v/>
      </c>
      <c r="F100">
        <f>JIKA(C100&lt;=D100;=JIKA(C100&lt;=E100;0;2);=JIKA(D100&lt;=E100;1;2))</f>
        <v/>
      </c>
      <c r="G100">
        <f>JUMLAH(JIKA(F100=0;JUMLAH(PANGKAT(Normalisasi!$J$26-Konvergensi!$B$129;2);PANGKAT(Normalisasi!$K$26-Konvergensi!$C$129;2);PANGKAT(Normalisasi!$L$26-Konvergensi!$D$129;2);PANGKAT(Normalisasi!$M$26-Konvergensi!$E$129;2);PANGKAT(Normalisasi!$N$26-Konvergensi!$F$129;2);PANGKAT(Normalisasi!$O$26-Konvergensi!$G$129;2);PANGKAT(Normalisasi!$P$26-Konvergensi!$H$129;2));0);JIKA(F100=1;JUMLAH(PANGKAT(Normalisasi!$J$26-Konvergensi!$B$130;2);PANGKAT(Normalisasi!$K$26-Konvergensi!$C$130;2);PANGKAT(Normalisasi!$L$26-Konvergensi!$D$130;2);PANGKAT(Normalisasi!$M$26-Konvergensi!$E$130;2);PANGKAT(Normalisasi!$N$26-Konvergensi!$F$130;2);PANGKAT(Normalisasi!$O$26-Konvergensi!$G$130;2);PANGKAT(Normalisasi!$P$26-Konvergensi!$H$130;2));0);JIKA(F100=2;JUMLAH(PANGKAT(Normalisasi!$J$26-Konvergensi!$B$131;2);PANGKAT(Normalisasi!$K$26-Konvergensi!$C$131;2);PANGKAT(Normalisasi!$L$26-Konvergensi!$D$131;2);PANGKAT(Normalisasi!$M$26-Konvergensi!$E$131;2);PANGKAT(Normalisasi!$N$26-Konvergensi!$F$131;2);PANGKAT(Normalisasi!$O$26-Konvergensi!$G$131;2);PANGKAT(Normalisasi!$P$26-Konvergensi!$H$131;2));0))</f>
        <v/>
      </c>
      <c r="H100" t="n">
        <v>0</v>
      </c>
      <c r="I100" t="n">
        <v>7.893657763256389</v>
      </c>
    </row>
    <row r="101">
      <c r="A101">
        <f>Data_Awal!A27</f>
        <v/>
      </c>
      <c r="B101">
        <f>Data_Awal!B27</f>
        <v/>
      </c>
      <c r="C101">
        <f>AKAR(JUMLAH(PANGKAT(Normalisasi!$J$27-Konvergensi!$B$64;2);PANGKAT(Normalisasi!$K$27-Konvergensi!$C$64;2);PANGKAT(Normalisasi!$L$27-Konvergensi!$D$64;2);PANGKAT(Normalisasi!$M$27-Konvergensi!$E$64;2);PANGKAT(Normalisasi!$N$27-Konvergensi!$F$64;2);PANGKAT(Normalisasi!$O$27-Konvergensi!$G$64;2);PANGKAT(Normalisasi!$P$27-Konvergensi!$H$64;2)))</f>
        <v/>
      </c>
      <c r="D101">
        <f>AKAR(JUMLAH(PANGKAT(Normalisasi!$J$27-Konvergensi!$B$65;2);PANGKAT(Normalisasi!$K$27-Konvergensi!$C$65;2);PANGKAT(Normalisasi!$L$27-Konvergensi!$D$65;2);PANGKAT(Normalisasi!$M$27-Konvergensi!$E$65;2);PANGKAT(Normalisasi!$N$27-Konvergensi!$F$65;2);PANGKAT(Normalisasi!$O$27-Konvergensi!$G$65;2);PANGKAT(Normalisasi!$P$27-Konvergensi!$H$65;2)))</f>
        <v/>
      </c>
      <c r="E101">
        <f>AKAR(JUMLAH(PANGKAT(Normalisasi!$J$27-Konvergensi!$B$66;2);PANGKAT(Normalisasi!$K$27-Konvergensi!$C$66;2);PANGKAT(Normalisasi!$L$27-Konvergensi!$D$66;2);PANGKAT(Normalisasi!$M$27-Konvergensi!$E$66;2);PANGKAT(Normalisasi!$N$27-Konvergensi!$F$66;2);PANGKAT(Normalisasi!$O$27-Konvergensi!$G$66;2);PANGKAT(Normalisasi!$P$27-Konvergensi!$H$66;2)))</f>
        <v/>
      </c>
      <c r="F101">
        <f>JIKA(C101&lt;=D101;=JIKA(C101&lt;=E101;0;2);=JIKA(D101&lt;=E101;1;2))</f>
        <v/>
      </c>
      <c r="G101">
        <f>JUMLAH(JIKA(F101=0;JUMLAH(PANGKAT(Normalisasi!$J$27-Konvergensi!$B$129;2);PANGKAT(Normalisasi!$K$27-Konvergensi!$C$129;2);PANGKAT(Normalisasi!$L$27-Konvergensi!$D$129;2);PANGKAT(Normalisasi!$M$27-Konvergensi!$E$129;2);PANGKAT(Normalisasi!$N$27-Konvergensi!$F$129;2);PANGKAT(Normalisasi!$O$27-Konvergensi!$G$129;2);PANGKAT(Normalisasi!$P$27-Konvergensi!$H$129;2));0);JIKA(F101=1;JUMLAH(PANGKAT(Normalisasi!$J$27-Konvergensi!$B$130;2);PANGKAT(Normalisasi!$K$27-Konvergensi!$C$130;2);PANGKAT(Normalisasi!$L$27-Konvergensi!$D$130;2);PANGKAT(Normalisasi!$M$27-Konvergensi!$E$130;2);PANGKAT(Normalisasi!$N$27-Konvergensi!$F$130;2);PANGKAT(Normalisasi!$O$27-Konvergensi!$G$130;2);PANGKAT(Normalisasi!$P$27-Konvergensi!$H$130;2));0);JIKA(F101=2;JUMLAH(PANGKAT(Normalisasi!$J$27-Konvergensi!$B$131;2);PANGKAT(Normalisasi!$K$27-Konvergensi!$C$131;2);PANGKAT(Normalisasi!$L$27-Konvergensi!$D$131;2);PANGKAT(Normalisasi!$M$27-Konvergensi!$E$131;2);PANGKAT(Normalisasi!$N$27-Konvergensi!$F$131;2);PANGKAT(Normalisasi!$O$27-Konvergensi!$G$131;2);PANGKAT(Normalisasi!$P$27-Konvergensi!$H$131;2));0))</f>
        <v/>
      </c>
      <c r="H101" t="n">
        <v>0</v>
      </c>
      <c r="I101" t="n">
        <v>1.766597614650453</v>
      </c>
    </row>
    <row r="102">
      <c r="A102">
        <f>Data_Awal!A28</f>
        <v/>
      </c>
      <c r="B102">
        <f>Data_Awal!B28</f>
        <v/>
      </c>
      <c r="C102">
        <f>AKAR(JUMLAH(PANGKAT(Normalisasi!$J$28-Konvergensi!$B$64;2);PANGKAT(Normalisasi!$K$28-Konvergensi!$C$64;2);PANGKAT(Normalisasi!$L$28-Konvergensi!$D$64;2);PANGKAT(Normalisasi!$M$28-Konvergensi!$E$64;2);PANGKAT(Normalisasi!$N$28-Konvergensi!$F$64;2);PANGKAT(Normalisasi!$O$28-Konvergensi!$G$64;2);PANGKAT(Normalisasi!$P$28-Konvergensi!$H$64;2)))</f>
        <v/>
      </c>
      <c r="D102">
        <f>AKAR(JUMLAH(PANGKAT(Normalisasi!$J$28-Konvergensi!$B$65;2);PANGKAT(Normalisasi!$K$28-Konvergensi!$C$65;2);PANGKAT(Normalisasi!$L$28-Konvergensi!$D$65;2);PANGKAT(Normalisasi!$M$28-Konvergensi!$E$65;2);PANGKAT(Normalisasi!$N$28-Konvergensi!$F$65;2);PANGKAT(Normalisasi!$O$28-Konvergensi!$G$65;2);PANGKAT(Normalisasi!$P$28-Konvergensi!$H$65;2)))</f>
        <v/>
      </c>
      <c r="E102">
        <f>AKAR(JUMLAH(PANGKAT(Normalisasi!$J$28-Konvergensi!$B$66;2);PANGKAT(Normalisasi!$K$28-Konvergensi!$C$66;2);PANGKAT(Normalisasi!$L$28-Konvergensi!$D$66;2);PANGKAT(Normalisasi!$M$28-Konvergensi!$E$66;2);PANGKAT(Normalisasi!$N$28-Konvergensi!$F$66;2);PANGKAT(Normalisasi!$O$28-Konvergensi!$G$66;2);PANGKAT(Normalisasi!$P$28-Konvergensi!$H$66;2)))</f>
        <v/>
      </c>
      <c r="F102">
        <f>JIKA(C102&lt;=D102;=JIKA(C102&lt;=E102;0;2);=JIKA(D102&lt;=E102;1;2))</f>
        <v/>
      </c>
      <c r="G102">
        <f>JUMLAH(JIKA(F102=0;JUMLAH(PANGKAT(Normalisasi!$J$28-Konvergensi!$B$129;2);PANGKAT(Normalisasi!$K$28-Konvergensi!$C$129;2);PANGKAT(Normalisasi!$L$28-Konvergensi!$D$129;2);PANGKAT(Normalisasi!$M$28-Konvergensi!$E$129;2);PANGKAT(Normalisasi!$N$28-Konvergensi!$F$129;2);PANGKAT(Normalisasi!$O$28-Konvergensi!$G$129;2);PANGKAT(Normalisasi!$P$28-Konvergensi!$H$129;2));0);JIKA(F102=1;JUMLAH(PANGKAT(Normalisasi!$J$28-Konvergensi!$B$130;2);PANGKAT(Normalisasi!$K$28-Konvergensi!$C$130;2);PANGKAT(Normalisasi!$L$28-Konvergensi!$D$130;2);PANGKAT(Normalisasi!$M$28-Konvergensi!$E$130;2);PANGKAT(Normalisasi!$N$28-Konvergensi!$F$130;2);PANGKAT(Normalisasi!$O$28-Konvergensi!$G$130;2);PANGKAT(Normalisasi!$P$28-Konvergensi!$H$130;2));0);JIKA(F102=2;JUMLAH(PANGKAT(Normalisasi!$J$28-Konvergensi!$B$131;2);PANGKAT(Normalisasi!$K$28-Konvergensi!$C$131;2);PANGKAT(Normalisasi!$L$28-Konvergensi!$D$131;2);PANGKAT(Normalisasi!$M$28-Konvergensi!$E$131;2);PANGKAT(Normalisasi!$N$28-Konvergensi!$F$131;2);PANGKAT(Normalisasi!$O$28-Konvergensi!$G$131;2);PANGKAT(Normalisasi!$P$28-Konvergensi!$H$131;2));0))</f>
        <v/>
      </c>
      <c r="H102" t="n">
        <v>0</v>
      </c>
      <c r="I102" t="n">
        <v>11.56065244409637</v>
      </c>
    </row>
    <row r="103">
      <c r="A103">
        <f>Data_Awal!A29</f>
        <v/>
      </c>
      <c r="B103">
        <f>Data_Awal!B29</f>
        <v/>
      </c>
      <c r="C103">
        <f>AKAR(JUMLAH(PANGKAT(Normalisasi!$J$29-Konvergensi!$B$64;2);PANGKAT(Normalisasi!$K$29-Konvergensi!$C$64;2);PANGKAT(Normalisasi!$L$29-Konvergensi!$D$64;2);PANGKAT(Normalisasi!$M$29-Konvergensi!$E$64;2);PANGKAT(Normalisasi!$N$29-Konvergensi!$F$64;2);PANGKAT(Normalisasi!$O$29-Konvergensi!$G$64;2);PANGKAT(Normalisasi!$P$29-Konvergensi!$H$64;2)))</f>
        <v/>
      </c>
      <c r="D103">
        <f>AKAR(JUMLAH(PANGKAT(Normalisasi!$J$29-Konvergensi!$B$65;2);PANGKAT(Normalisasi!$K$29-Konvergensi!$C$65;2);PANGKAT(Normalisasi!$L$29-Konvergensi!$D$65;2);PANGKAT(Normalisasi!$M$29-Konvergensi!$E$65;2);PANGKAT(Normalisasi!$N$29-Konvergensi!$F$65;2);PANGKAT(Normalisasi!$O$29-Konvergensi!$G$65;2);PANGKAT(Normalisasi!$P$29-Konvergensi!$H$65;2)))</f>
        <v/>
      </c>
      <c r="E103">
        <f>AKAR(JUMLAH(PANGKAT(Normalisasi!$J$29-Konvergensi!$B$66;2);PANGKAT(Normalisasi!$K$29-Konvergensi!$C$66;2);PANGKAT(Normalisasi!$L$29-Konvergensi!$D$66;2);PANGKAT(Normalisasi!$M$29-Konvergensi!$E$66;2);PANGKAT(Normalisasi!$N$29-Konvergensi!$F$66;2);PANGKAT(Normalisasi!$O$29-Konvergensi!$G$66;2);PANGKAT(Normalisasi!$P$29-Konvergensi!$H$66;2)))</f>
        <v/>
      </c>
      <c r="F103">
        <f>JIKA(C103&lt;=D103;=JIKA(C103&lt;=E103;0;2);=JIKA(D103&lt;=E103;1;2))</f>
        <v/>
      </c>
      <c r="G103">
        <f>JUMLAH(JIKA(F103=0;JUMLAH(PANGKAT(Normalisasi!$J$29-Konvergensi!$B$129;2);PANGKAT(Normalisasi!$K$29-Konvergensi!$C$129;2);PANGKAT(Normalisasi!$L$29-Konvergensi!$D$129;2);PANGKAT(Normalisasi!$M$29-Konvergensi!$E$129;2);PANGKAT(Normalisasi!$N$29-Konvergensi!$F$129;2);PANGKAT(Normalisasi!$O$29-Konvergensi!$G$129;2);PANGKAT(Normalisasi!$P$29-Konvergensi!$H$129;2));0);JIKA(F103=1;JUMLAH(PANGKAT(Normalisasi!$J$29-Konvergensi!$B$130;2);PANGKAT(Normalisasi!$K$29-Konvergensi!$C$130;2);PANGKAT(Normalisasi!$L$29-Konvergensi!$D$130;2);PANGKAT(Normalisasi!$M$29-Konvergensi!$E$130;2);PANGKAT(Normalisasi!$N$29-Konvergensi!$F$130;2);PANGKAT(Normalisasi!$O$29-Konvergensi!$G$130;2);PANGKAT(Normalisasi!$P$29-Konvergensi!$H$130;2));0);JIKA(F103=2;JUMLAH(PANGKAT(Normalisasi!$J$29-Konvergensi!$B$131;2);PANGKAT(Normalisasi!$K$29-Konvergensi!$C$131;2);PANGKAT(Normalisasi!$L$29-Konvergensi!$D$131;2);PANGKAT(Normalisasi!$M$29-Konvergensi!$E$131;2);PANGKAT(Normalisasi!$N$29-Konvergensi!$F$131;2);PANGKAT(Normalisasi!$O$29-Konvergensi!$G$131;2);PANGKAT(Normalisasi!$P$29-Konvergensi!$H$131;2));0))</f>
        <v/>
      </c>
      <c r="H103" t="n">
        <v>0</v>
      </c>
      <c r="I103" t="n">
        <v>5.395428981465602</v>
      </c>
    </row>
    <row r="104">
      <c r="A104">
        <f>Data_Awal!A30</f>
        <v/>
      </c>
      <c r="B104">
        <f>Data_Awal!B30</f>
        <v/>
      </c>
      <c r="C104">
        <f>AKAR(JUMLAH(PANGKAT(Normalisasi!$J$30-Konvergensi!$B$64;2);PANGKAT(Normalisasi!$K$30-Konvergensi!$C$64;2);PANGKAT(Normalisasi!$L$30-Konvergensi!$D$64;2);PANGKAT(Normalisasi!$M$30-Konvergensi!$E$64;2);PANGKAT(Normalisasi!$N$30-Konvergensi!$F$64;2);PANGKAT(Normalisasi!$O$30-Konvergensi!$G$64;2);PANGKAT(Normalisasi!$P$30-Konvergensi!$H$64;2)))</f>
        <v/>
      </c>
      <c r="D104">
        <f>AKAR(JUMLAH(PANGKAT(Normalisasi!$J$30-Konvergensi!$B$65;2);PANGKAT(Normalisasi!$K$30-Konvergensi!$C$65;2);PANGKAT(Normalisasi!$L$30-Konvergensi!$D$65;2);PANGKAT(Normalisasi!$M$30-Konvergensi!$E$65;2);PANGKAT(Normalisasi!$N$30-Konvergensi!$F$65;2);PANGKAT(Normalisasi!$O$30-Konvergensi!$G$65;2);PANGKAT(Normalisasi!$P$30-Konvergensi!$H$65;2)))</f>
        <v/>
      </c>
      <c r="E104">
        <f>AKAR(JUMLAH(PANGKAT(Normalisasi!$J$30-Konvergensi!$B$66;2);PANGKAT(Normalisasi!$K$30-Konvergensi!$C$66;2);PANGKAT(Normalisasi!$L$30-Konvergensi!$D$66;2);PANGKAT(Normalisasi!$M$30-Konvergensi!$E$66;2);PANGKAT(Normalisasi!$N$30-Konvergensi!$F$66;2);PANGKAT(Normalisasi!$O$30-Konvergensi!$G$66;2);PANGKAT(Normalisasi!$P$30-Konvergensi!$H$66;2)))</f>
        <v/>
      </c>
      <c r="F104">
        <f>JIKA(C104&lt;=D104;=JIKA(C104&lt;=E104;0;2);=JIKA(D104&lt;=E104;1;2))</f>
        <v/>
      </c>
      <c r="G104">
        <f>JUMLAH(JIKA(F104=0;JUMLAH(PANGKAT(Normalisasi!$J$30-Konvergensi!$B$129;2);PANGKAT(Normalisasi!$K$30-Konvergensi!$C$129;2);PANGKAT(Normalisasi!$L$30-Konvergensi!$D$129;2);PANGKAT(Normalisasi!$M$30-Konvergensi!$E$129;2);PANGKAT(Normalisasi!$N$30-Konvergensi!$F$129;2);PANGKAT(Normalisasi!$O$30-Konvergensi!$G$129;2);PANGKAT(Normalisasi!$P$30-Konvergensi!$H$129;2));0);JIKA(F104=1;JUMLAH(PANGKAT(Normalisasi!$J$30-Konvergensi!$B$130;2);PANGKAT(Normalisasi!$K$30-Konvergensi!$C$130;2);PANGKAT(Normalisasi!$L$30-Konvergensi!$D$130;2);PANGKAT(Normalisasi!$M$30-Konvergensi!$E$130;2);PANGKAT(Normalisasi!$N$30-Konvergensi!$F$130;2);PANGKAT(Normalisasi!$O$30-Konvergensi!$G$130;2);PANGKAT(Normalisasi!$P$30-Konvergensi!$H$130;2));0);JIKA(F104=2;JUMLAH(PANGKAT(Normalisasi!$J$30-Konvergensi!$B$131;2);PANGKAT(Normalisasi!$K$30-Konvergensi!$C$131;2);PANGKAT(Normalisasi!$L$30-Konvergensi!$D$131;2);PANGKAT(Normalisasi!$M$30-Konvergensi!$E$131;2);PANGKAT(Normalisasi!$N$30-Konvergensi!$F$131;2);PANGKAT(Normalisasi!$O$30-Konvergensi!$G$131;2);PANGKAT(Normalisasi!$P$30-Konvergensi!$H$131;2));0))</f>
        <v/>
      </c>
      <c r="H104" t="n">
        <v>0</v>
      </c>
      <c r="I104" t="n">
        <v>7.339481271896107</v>
      </c>
    </row>
    <row r="105">
      <c r="A105">
        <f>Data_Awal!A31</f>
        <v/>
      </c>
      <c r="B105">
        <f>Data_Awal!B31</f>
        <v/>
      </c>
      <c r="C105">
        <f>AKAR(JUMLAH(PANGKAT(Normalisasi!$J$31-Konvergensi!$B$64;2);PANGKAT(Normalisasi!$K$31-Konvergensi!$C$64;2);PANGKAT(Normalisasi!$L$31-Konvergensi!$D$64;2);PANGKAT(Normalisasi!$M$31-Konvergensi!$E$64;2);PANGKAT(Normalisasi!$N$31-Konvergensi!$F$64;2);PANGKAT(Normalisasi!$O$31-Konvergensi!$G$64;2);PANGKAT(Normalisasi!$P$31-Konvergensi!$H$64;2)))</f>
        <v/>
      </c>
      <c r="D105">
        <f>AKAR(JUMLAH(PANGKAT(Normalisasi!$J$31-Konvergensi!$B$65;2);PANGKAT(Normalisasi!$K$31-Konvergensi!$C$65;2);PANGKAT(Normalisasi!$L$31-Konvergensi!$D$65;2);PANGKAT(Normalisasi!$M$31-Konvergensi!$E$65;2);PANGKAT(Normalisasi!$N$31-Konvergensi!$F$65;2);PANGKAT(Normalisasi!$O$31-Konvergensi!$G$65;2);PANGKAT(Normalisasi!$P$31-Konvergensi!$H$65;2)))</f>
        <v/>
      </c>
      <c r="E105">
        <f>AKAR(JUMLAH(PANGKAT(Normalisasi!$J$31-Konvergensi!$B$66;2);PANGKAT(Normalisasi!$K$31-Konvergensi!$C$66;2);PANGKAT(Normalisasi!$L$31-Konvergensi!$D$66;2);PANGKAT(Normalisasi!$M$31-Konvergensi!$E$66;2);PANGKAT(Normalisasi!$N$31-Konvergensi!$F$66;2);PANGKAT(Normalisasi!$O$31-Konvergensi!$G$66;2);PANGKAT(Normalisasi!$P$31-Konvergensi!$H$66;2)))</f>
        <v/>
      </c>
      <c r="F105">
        <f>JIKA(C105&lt;=D105;=JIKA(C105&lt;=E105;0;2);=JIKA(D105&lt;=E105;1;2))</f>
        <v/>
      </c>
      <c r="G105">
        <f>JUMLAH(JIKA(F105=0;JUMLAH(PANGKAT(Normalisasi!$J$31-Konvergensi!$B$129;2);PANGKAT(Normalisasi!$K$31-Konvergensi!$C$129;2);PANGKAT(Normalisasi!$L$31-Konvergensi!$D$129;2);PANGKAT(Normalisasi!$M$31-Konvergensi!$E$129;2);PANGKAT(Normalisasi!$N$31-Konvergensi!$F$129;2);PANGKAT(Normalisasi!$O$31-Konvergensi!$G$129;2);PANGKAT(Normalisasi!$P$31-Konvergensi!$H$129;2));0);JIKA(F105=1;JUMLAH(PANGKAT(Normalisasi!$J$31-Konvergensi!$B$130;2);PANGKAT(Normalisasi!$K$31-Konvergensi!$C$130;2);PANGKAT(Normalisasi!$L$31-Konvergensi!$D$130;2);PANGKAT(Normalisasi!$M$31-Konvergensi!$E$130;2);PANGKAT(Normalisasi!$N$31-Konvergensi!$F$130;2);PANGKAT(Normalisasi!$O$31-Konvergensi!$G$130;2);PANGKAT(Normalisasi!$P$31-Konvergensi!$H$130;2));0);JIKA(F105=2;JUMLAH(PANGKAT(Normalisasi!$J$31-Konvergensi!$B$131;2);PANGKAT(Normalisasi!$K$31-Konvergensi!$C$131;2);PANGKAT(Normalisasi!$L$31-Konvergensi!$D$131;2);PANGKAT(Normalisasi!$M$31-Konvergensi!$E$131;2);PANGKAT(Normalisasi!$N$31-Konvergensi!$F$131;2);PANGKAT(Normalisasi!$O$31-Konvergensi!$G$131;2);PANGKAT(Normalisasi!$P$31-Konvergensi!$H$131;2));0))</f>
        <v/>
      </c>
      <c r="H105" t="n">
        <v>0</v>
      </c>
      <c r="I105" t="n">
        <v>7.622015147572541</v>
      </c>
    </row>
    <row r="106">
      <c r="A106">
        <f>Data_Awal!A32</f>
        <v/>
      </c>
      <c r="B106">
        <f>Data_Awal!B32</f>
        <v/>
      </c>
      <c r="C106">
        <f>AKAR(JUMLAH(PANGKAT(Normalisasi!$J$32-Konvergensi!$B$64;2);PANGKAT(Normalisasi!$K$32-Konvergensi!$C$64;2);PANGKAT(Normalisasi!$L$32-Konvergensi!$D$64;2);PANGKAT(Normalisasi!$M$32-Konvergensi!$E$64;2);PANGKAT(Normalisasi!$N$32-Konvergensi!$F$64;2);PANGKAT(Normalisasi!$O$32-Konvergensi!$G$64;2);PANGKAT(Normalisasi!$P$32-Konvergensi!$H$64;2)))</f>
        <v/>
      </c>
      <c r="D106">
        <f>AKAR(JUMLAH(PANGKAT(Normalisasi!$J$32-Konvergensi!$B$65;2);PANGKAT(Normalisasi!$K$32-Konvergensi!$C$65;2);PANGKAT(Normalisasi!$L$32-Konvergensi!$D$65;2);PANGKAT(Normalisasi!$M$32-Konvergensi!$E$65;2);PANGKAT(Normalisasi!$N$32-Konvergensi!$F$65;2);PANGKAT(Normalisasi!$O$32-Konvergensi!$G$65;2);PANGKAT(Normalisasi!$P$32-Konvergensi!$H$65;2)))</f>
        <v/>
      </c>
      <c r="E106">
        <f>AKAR(JUMLAH(PANGKAT(Normalisasi!$J$32-Konvergensi!$B$66;2);PANGKAT(Normalisasi!$K$32-Konvergensi!$C$66;2);PANGKAT(Normalisasi!$L$32-Konvergensi!$D$66;2);PANGKAT(Normalisasi!$M$32-Konvergensi!$E$66;2);PANGKAT(Normalisasi!$N$32-Konvergensi!$F$66;2);PANGKAT(Normalisasi!$O$32-Konvergensi!$G$66;2);PANGKAT(Normalisasi!$P$32-Konvergensi!$H$66;2)))</f>
        <v/>
      </c>
      <c r="F106">
        <f>JIKA(C106&lt;=D106;=JIKA(C106&lt;=E106;0;2);=JIKA(D106&lt;=E106;1;2))</f>
        <v/>
      </c>
      <c r="G106">
        <f>JUMLAH(JIKA(F106=0;JUMLAH(PANGKAT(Normalisasi!$J$32-Konvergensi!$B$129;2);PANGKAT(Normalisasi!$K$32-Konvergensi!$C$129;2);PANGKAT(Normalisasi!$L$32-Konvergensi!$D$129;2);PANGKAT(Normalisasi!$M$32-Konvergensi!$E$129;2);PANGKAT(Normalisasi!$N$32-Konvergensi!$F$129;2);PANGKAT(Normalisasi!$O$32-Konvergensi!$G$129;2);PANGKAT(Normalisasi!$P$32-Konvergensi!$H$129;2));0);JIKA(F106=1;JUMLAH(PANGKAT(Normalisasi!$J$32-Konvergensi!$B$130;2);PANGKAT(Normalisasi!$K$32-Konvergensi!$C$130;2);PANGKAT(Normalisasi!$L$32-Konvergensi!$D$130;2);PANGKAT(Normalisasi!$M$32-Konvergensi!$E$130;2);PANGKAT(Normalisasi!$N$32-Konvergensi!$F$130;2);PANGKAT(Normalisasi!$O$32-Konvergensi!$G$130;2);PANGKAT(Normalisasi!$P$32-Konvergensi!$H$130;2));0);JIKA(F106=2;JUMLAH(PANGKAT(Normalisasi!$J$32-Konvergensi!$B$131;2);PANGKAT(Normalisasi!$K$32-Konvergensi!$C$131;2);PANGKAT(Normalisasi!$L$32-Konvergensi!$D$131;2);PANGKAT(Normalisasi!$M$32-Konvergensi!$E$131;2);PANGKAT(Normalisasi!$N$32-Konvergensi!$F$131;2);PANGKAT(Normalisasi!$O$32-Konvergensi!$G$131;2);PANGKAT(Normalisasi!$P$32-Konvergensi!$H$131;2));0))</f>
        <v/>
      </c>
      <c r="H106" t="n">
        <v>0</v>
      </c>
      <c r="I106" t="n">
        <v>5.050018180813747</v>
      </c>
    </row>
    <row r="107">
      <c r="A107">
        <f>Data_Awal!A33</f>
        <v/>
      </c>
      <c r="B107">
        <f>Data_Awal!B33</f>
        <v/>
      </c>
      <c r="C107">
        <f>AKAR(JUMLAH(PANGKAT(Normalisasi!$J$33-Konvergensi!$B$64;2);PANGKAT(Normalisasi!$K$33-Konvergensi!$C$64;2);PANGKAT(Normalisasi!$L$33-Konvergensi!$D$64;2);PANGKAT(Normalisasi!$M$33-Konvergensi!$E$64;2);PANGKAT(Normalisasi!$N$33-Konvergensi!$F$64;2);PANGKAT(Normalisasi!$O$33-Konvergensi!$G$64;2);PANGKAT(Normalisasi!$P$33-Konvergensi!$H$64;2)))</f>
        <v/>
      </c>
      <c r="D107">
        <f>AKAR(JUMLAH(PANGKAT(Normalisasi!$J$33-Konvergensi!$B$65;2);PANGKAT(Normalisasi!$K$33-Konvergensi!$C$65;2);PANGKAT(Normalisasi!$L$33-Konvergensi!$D$65;2);PANGKAT(Normalisasi!$M$33-Konvergensi!$E$65;2);PANGKAT(Normalisasi!$N$33-Konvergensi!$F$65;2);PANGKAT(Normalisasi!$O$33-Konvergensi!$G$65;2);PANGKAT(Normalisasi!$P$33-Konvergensi!$H$65;2)))</f>
        <v/>
      </c>
      <c r="E107">
        <f>AKAR(JUMLAH(PANGKAT(Normalisasi!$J$33-Konvergensi!$B$66;2);PANGKAT(Normalisasi!$K$33-Konvergensi!$C$66;2);PANGKAT(Normalisasi!$L$33-Konvergensi!$D$66;2);PANGKAT(Normalisasi!$M$33-Konvergensi!$E$66;2);PANGKAT(Normalisasi!$N$33-Konvergensi!$F$66;2);PANGKAT(Normalisasi!$O$33-Konvergensi!$G$66;2);PANGKAT(Normalisasi!$P$33-Konvergensi!$H$66;2)))</f>
        <v/>
      </c>
      <c r="F107">
        <f>JIKA(C107&lt;=D107;=JIKA(C107&lt;=E107;0;2);=JIKA(D107&lt;=E107;1;2))</f>
        <v/>
      </c>
      <c r="G107">
        <f>JUMLAH(JIKA(F107=0;JUMLAH(PANGKAT(Normalisasi!$J$33-Konvergensi!$B$129;2);PANGKAT(Normalisasi!$K$33-Konvergensi!$C$129;2);PANGKAT(Normalisasi!$L$33-Konvergensi!$D$129;2);PANGKAT(Normalisasi!$M$33-Konvergensi!$E$129;2);PANGKAT(Normalisasi!$N$33-Konvergensi!$F$129;2);PANGKAT(Normalisasi!$O$33-Konvergensi!$G$129;2);PANGKAT(Normalisasi!$P$33-Konvergensi!$H$129;2));0);JIKA(F107=1;JUMLAH(PANGKAT(Normalisasi!$J$33-Konvergensi!$B$130;2);PANGKAT(Normalisasi!$K$33-Konvergensi!$C$130;2);PANGKAT(Normalisasi!$L$33-Konvergensi!$D$130;2);PANGKAT(Normalisasi!$M$33-Konvergensi!$E$130;2);PANGKAT(Normalisasi!$N$33-Konvergensi!$F$130;2);PANGKAT(Normalisasi!$O$33-Konvergensi!$G$130;2);PANGKAT(Normalisasi!$P$33-Konvergensi!$H$130;2));0);JIKA(F107=2;JUMLAH(PANGKAT(Normalisasi!$J$33-Konvergensi!$B$131;2);PANGKAT(Normalisasi!$K$33-Konvergensi!$C$131;2);PANGKAT(Normalisasi!$L$33-Konvergensi!$D$131;2);PANGKAT(Normalisasi!$M$33-Konvergensi!$E$131;2);PANGKAT(Normalisasi!$N$33-Konvergensi!$F$131;2);PANGKAT(Normalisasi!$O$33-Konvergensi!$G$131;2);PANGKAT(Normalisasi!$P$33-Konvergensi!$H$131;2));0))</f>
        <v/>
      </c>
      <c r="H107" t="n">
        <v>0</v>
      </c>
      <c r="I107" t="n">
        <v>7.849997775470012</v>
      </c>
    </row>
    <row r="108">
      <c r="A108">
        <f>Data_Awal!A34</f>
        <v/>
      </c>
      <c r="B108">
        <f>Data_Awal!B34</f>
        <v/>
      </c>
      <c r="C108">
        <f>AKAR(JUMLAH(PANGKAT(Normalisasi!$J$34-Konvergensi!$B$64;2);PANGKAT(Normalisasi!$K$34-Konvergensi!$C$64;2);PANGKAT(Normalisasi!$L$34-Konvergensi!$D$64;2);PANGKAT(Normalisasi!$M$34-Konvergensi!$E$64;2);PANGKAT(Normalisasi!$N$34-Konvergensi!$F$64;2);PANGKAT(Normalisasi!$O$34-Konvergensi!$G$64;2);PANGKAT(Normalisasi!$P$34-Konvergensi!$H$64;2)))</f>
        <v/>
      </c>
      <c r="D108">
        <f>AKAR(JUMLAH(PANGKAT(Normalisasi!$J$34-Konvergensi!$B$65;2);PANGKAT(Normalisasi!$K$34-Konvergensi!$C$65;2);PANGKAT(Normalisasi!$L$34-Konvergensi!$D$65;2);PANGKAT(Normalisasi!$M$34-Konvergensi!$E$65;2);PANGKAT(Normalisasi!$N$34-Konvergensi!$F$65;2);PANGKAT(Normalisasi!$O$34-Konvergensi!$G$65;2);PANGKAT(Normalisasi!$P$34-Konvergensi!$H$65;2)))</f>
        <v/>
      </c>
      <c r="E108">
        <f>AKAR(JUMLAH(PANGKAT(Normalisasi!$J$34-Konvergensi!$B$66;2);PANGKAT(Normalisasi!$K$34-Konvergensi!$C$66;2);PANGKAT(Normalisasi!$L$34-Konvergensi!$D$66;2);PANGKAT(Normalisasi!$M$34-Konvergensi!$E$66;2);PANGKAT(Normalisasi!$N$34-Konvergensi!$F$66;2);PANGKAT(Normalisasi!$O$34-Konvergensi!$G$66;2);PANGKAT(Normalisasi!$P$34-Konvergensi!$H$66;2)))</f>
        <v/>
      </c>
      <c r="F108">
        <f>JIKA(C108&lt;=D108;=JIKA(C108&lt;=E108;0;2);=JIKA(D108&lt;=E108;1;2))</f>
        <v/>
      </c>
      <c r="G108">
        <f>JUMLAH(JIKA(F108=0;JUMLAH(PANGKAT(Normalisasi!$J$34-Konvergensi!$B$129;2);PANGKAT(Normalisasi!$K$34-Konvergensi!$C$129;2);PANGKAT(Normalisasi!$L$34-Konvergensi!$D$129;2);PANGKAT(Normalisasi!$M$34-Konvergensi!$E$129;2);PANGKAT(Normalisasi!$N$34-Konvergensi!$F$129;2);PANGKAT(Normalisasi!$O$34-Konvergensi!$G$129;2);PANGKAT(Normalisasi!$P$34-Konvergensi!$H$129;2));0);JIKA(F108=1;JUMLAH(PANGKAT(Normalisasi!$J$34-Konvergensi!$B$130;2);PANGKAT(Normalisasi!$K$34-Konvergensi!$C$130;2);PANGKAT(Normalisasi!$L$34-Konvergensi!$D$130;2);PANGKAT(Normalisasi!$M$34-Konvergensi!$E$130;2);PANGKAT(Normalisasi!$N$34-Konvergensi!$F$130;2);PANGKAT(Normalisasi!$O$34-Konvergensi!$G$130;2);PANGKAT(Normalisasi!$P$34-Konvergensi!$H$130;2));0);JIKA(F108=2;JUMLAH(PANGKAT(Normalisasi!$J$34-Konvergensi!$B$131;2);PANGKAT(Normalisasi!$K$34-Konvergensi!$C$131;2);PANGKAT(Normalisasi!$L$34-Konvergensi!$D$131;2);PANGKAT(Normalisasi!$M$34-Konvergensi!$E$131;2);PANGKAT(Normalisasi!$N$34-Konvergensi!$F$131;2);PANGKAT(Normalisasi!$O$34-Konvergensi!$G$131;2);PANGKAT(Normalisasi!$P$34-Konvergensi!$H$131;2));0))</f>
        <v/>
      </c>
      <c r="H108" t="n">
        <v>1</v>
      </c>
      <c r="I108" t="n">
        <v>1.796962155428233</v>
      </c>
    </row>
    <row r="109">
      <c r="A109">
        <f>Data_Awal!A35</f>
        <v/>
      </c>
      <c r="B109">
        <f>Data_Awal!B35</f>
        <v/>
      </c>
      <c r="C109">
        <f>AKAR(JUMLAH(PANGKAT(Normalisasi!$J$35-Konvergensi!$B$64;2);PANGKAT(Normalisasi!$K$35-Konvergensi!$C$64;2);PANGKAT(Normalisasi!$L$35-Konvergensi!$D$64;2);PANGKAT(Normalisasi!$M$35-Konvergensi!$E$64;2);PANGKAT(Normalisasi!$N$35-Konvergensi!$F$64;2);PANGKAT(Normalisasi!$O$35-Konvergensi!$G$64;2);PANGKAT(Normalisasi!$P$35-Konvergensi!$H$64;2)))</f>
        <v/>
      </c>
      <c r="D109">
        <f>AKAR(JUMLAH(PANGKAT(Normalisasi!$J$35-Konvergensi!$B$65;2);PANGKAT(Normalisasi!$K$35-Konvergensi!$C$65;2);PANGKAT(Normalisasi!$L$35-Konvergensi!$D$65;2);PANGKAT(Normalisasi!$M$35-Konvergensi!$E$65;2);PANGKAT(Normalisasi!$N$35-Konvergensi!$F$65;2);PANGKAT(Normalisasi!$O$35-Konvergensi!$G$65;2);PANGKAT(Normalisasi!$P$35-Konvergensi!$H$65;2)))</f>
        <v/>
      </c>
      <c r="E109">
        <f>AKAR(JUMLAH(PANGKAT(Normalisasi!$J$35-Konvergensi!$B$66;2);PANGKAT(Normalisasi!$K$35-Konvergensi!$C$66;2);PANGKAT(Normalisasi!$L$35-Konvergensi!$D$66;2);PANGKAT(Normalisasi!$M$35-Konvergensi!$E$66;2);PANGKAT(Normalisasi!$N$35-Konvergensi!$F$66;2);PANGKAT(Normalisasi!$O$35-Konvergensi!$G$66;2);PANGKAT(Normalisasi!$P$35-Konvergensi!$H$66;2)))</f>
        <v/>
      </c>
      <c r="F109">
        <f>JIKA(C109&lt;=D109;=JIKA(C109&lt;=E109;0;2);=JIKA(D109&lt;=E109;1;2))</f>
        <v/>
      </c>
      <c r="G109">
        <f>JUMLAH(JIKA(F109=0;JUMLAH(PANGKAT(Normalisasi!$J$35-Konvergensi!$B$129;2);PANGKAT(Normalisasi!$K$35-Konvergensi!$C$129;2);PANGKAT(Normalisasi!$L$35-Konvergensi!$D$129;2);PANGKAT(Normalisasi!$M$35-Konvergensi!$E$129;2);PANGKAT(Normalisasi!$N$35-Konvergensi!$F$129;2);PANGKAT(Normalisasi!$O$35-Konvergensi!$G$129;2);PANGKAT(Normalisasi!$P$35-Konvergensi!$H$129;2));0);JIKA(F109=1;JUMLAH(PANGKAT(Normalisasi!$J$35-Konvergensi!$B$130;2);PANGKAT(Normalisasi!$K$35-Konvergensi!$C$130;2);PANGKAT(Normalisasi!$L$35-Konvergensi!$D$130;2);PANGKAT(Normalisasi!$M$35-Konvergensi!$E$130;2);PANGKAT(Normalisasi!$N$35-Konvergensi!$F$130;2);PANGKAT(Normalisasi!$O$35-Konvergensi!$G$130;2);PANGKAT(Normalisasi!$P$35-Konvergensi!$H$130;2));0);JIKA(F109=2;JUMLAH(PANGKAT(Normalisasi!$J$35-Konvergensi!$B$131;2);PANGKAT(Normalisasi!$K$35-Konvergensi!$C$131;2);PANGKAT(Normalisasi!$L$35-Konvergensi!$D$131;2);PANGKAT(Normalisasi!$M$35-Konvergensi!$E$131;2);PANGKAT(Normalisasi!$N$35-Konvergensi!$F$131;2);PANGKAT(Normalisasi!$O$35-Konvergensi!$G$131;2);PANGKAT(Normalisasi!$P$35-Konvergensi!$H$131;2));0))</f>
        <v/>
      </c>
      <c r="H109" t="n">
        <v>0</v>
      </c>
      <c r="I109" t="n">
        <v>4.033624028183433</v>
      </c>
    </row>
    <row r="110">
      <c r="A110">
        <f>Data_Awal!A36</f>
        <v/>
      </c>
      <c r="B110">
        <f>Data_Awal!B36</f>
        <v/>
      </c>
      <c r="C110">
        <f>AKAR(JUMLAH(PANGKAT(Normalisasi!$J$36-Konvergensi!$B$64;2);PANGKAT(Normalisasi!$K$36-Konvergensi!$C$64;2);PANGKAT(Normalisasi!$L$36-Konvergensi!$D$64;2);PANGKAT(Normalisasi!$M$36-Konvergensi!$E$64;2);PANGKAT(Normalisasi!$N$36-Konvergensi!$F$64;2);PANGKAT(Normalisasi!$O$36-Konvergensi!$G$64;2);PANGKAT(Normalisasi!$P$36-Konvergensi!$H$64;2)))</f>
        <v/>
      </c>
      <c r="D110">
        <f>AKAR(JUMLAH(PANGKAT(Normalisasi!$J$36-Konvergensi!$B$65;2);PANGKAT(Normalisasi!$K$36-Konvergensi!$C$65;2);PANGKAT(Normalisasi!$L$36-Konvergensi!$D$65;2);PANGKAT(Normalisasi!$M$36-Konvergensi!$E$65;2);PANGKAT(Normalisasi!$N$36-Konvergensi!$F$65;2);PANGKAT(Normalisasi!$O$36-Konvergensi!$G$65;2);PANGKAT(Normalisasi!$P$36-Konvergensi!$H$65;2)))</f>
        <v/>
      </c>
      <c r="E110">
        <f>AKAR(JUMLAH(PANGKAT(Normalisasi!$J$36-Konvergensi!$B$66;2);PANGKAT(Normalisasi!$K$36-Konvergensi!$C$66;2);PANGKAT(Normalisasi!$L$36-Konvergensi!$D$66;2);PANGKAT(Normalisasi!$M$36-Konvergensi!$E$66;2);PANGKAT(Normalisasi!$N$36-Konvergensi!$F$66;2);PANGKAT(Normalisasi!$O$36-Konvergensi!$G$66;2);PANGKAT(Normalisasi!$P$36-Konvergensi!$H$66;2)))</f>
        <v/>
      </c>
      <c r="F110">
        <f>JIKA(C110&lt;=D110;=JIKA(C110&lt;=E110;0;2);=JIKA(D110&lt;=E110;1;2))</f>
        <v/>
      </c>
      <c r="G110">
        <f>JUMLAH(JIKA(F110=0;JUMLAH(PANGKAT(Normalisasi!$J$36-Konvergensi!$B$129;2);PANGKAT(Normalisasi!$K$36-Konvergensi!$C$129;2);PANGKAT(Normalisasi!$L$36-Konvergensi!$D$129;2);PANGKAT(Normalisasi!$M$36-Konvergensi!$E$129;2);PANGKAT(Normalisasi!$N$36-Konvergensi!$F$129;2);PANGKAT(Normalisasi!$O$36-Konvergensi!$G$129;2);PANGKAT(Normalisasi!$P$36-Konvergensi!$H$129;2));0);JIKA(F110=1;JUMLAH(PANGKAT(Normalisasi!$J$36-Konvergensi!$B$130;2);PANGKAT(Normalisasi!$K$36-Konvergensi!$C$130;2);PANGKAT(Normalisasi!$L$36-Konvergensi!$D$130;2);PANGKAT(Normalisasi!$M$36-Konvergensi!$E$130;2);PANGKAT(Normalisasi!$N$36-Konvergensi!$F$130;2);PANGKAT(Normalisasi!$O$36-Konvergensi!$G$130;2);PANGKAT(Normalisasi!$P$36-Konvergensi!$H$130;2));0);JIKA(F110=2;JUMLAH(PANGKAT(Normalisasi!$J$36-Konvergensi!$B$131;2);PANGKAT(Normalisasi!$K$36-Konvergensi!$C$131;2);PANGKAT(Normalisasi!$L$36-Konvergensi!$D$131;2);PANGKAT(Normalisasi!$M$36-Konvergensi!$E$131;2);PANGKAT(Normalisasi!$N$36-Konvergensi!$F$131;2);PANGKAT(Normalisasi!$O$36-Konvergensi!$G$131;2);PANGKAT(Normalisasi!$P$36-Konvergensi!$H$131;2));0))</f>
        <v/>
      </c>
      <c r="H110" t="n">
        <v>0</v>
      </c>
      <c r="I110" t="n">
        <v>5.098890102654423</v>
      </c>
    </row>
    <row r="111">
      <c r="A111">
        <f>Data_Awal!A37</f>
        <v/>
      </c>
      <c r="B111">
        <f>Data_Awal!B37</f>
        <v/>
      </c>
      <c r="C111">
        <f>AKAR(JUMLAH(PANGKAT(Normalisasi!$J$37-Konvergensi!$B$64;2);PANGKAT(Normalisasi!$K$37-Konvergensi!$C$64;2);PANGKAT(Normalisasi!$L$37-Konvergensi!$D$64;2);PANGKAT(Normalisasi!$M$37-Konvergensi!$E$64;2);PANGKAT(Normalisasi!$N$37-Konvergensi!$F$64;2);PANGKAT(Normalisasi!$O$37-Konvergensi!$G$64;2);PANGKAT(Normalisasi!$P$37-Konvergensi!$H$64;2)))</f>
        <v/>
      </c>
      <c r="D111">
        <f>AKAR(JUMLAH(PANGKAT(Normalisasi!$J$37-Konvergensi!$B$65;2);PANGKAT(Normalisasi!$K$37-Konvergensi!$C$65;2);PANGKAT(Normalisasi!$L$37-Konvergensi!$D$65;2);PANGKAT(Normalisasi!$M$37-Konvergensi!$E$65;2);PANGKAT(Normalisasi!$N$37-Konvergensi!$F$65;2);PANGKAT(Normalisasi!$O$37-Konvergensi!$G$65;2);PANGKAT(Normalisasi!$P$37-Konvergensi!$H$65;2)))</f>
        <v/>
      </c>
      <c r="E111">
        <f>AKAR(JUMLAH(PANGKAT(Normalisasi!$J$37-Konvergensi!$B$66;2);PANGKAT(Normalisasi!$K$37-Konvergensi!$C$66;2);PANGKAT(Normalisasi!$L$37-Konvergensi!$D$66;2);PANGKAT(Normalisasi!$M$37-Konvergensi!$E$66;2);PANGKAT(Normalisasi!$N$37-Konvergensi!$F$66;2);PANGKAT(Normalisasi!$O$37-Konvergensi!$G$66;2);PANGKAT(Normalisasi!$P$37-Konvergensi!$H$66;2)))</f>
        <v/>
      </c>
      <c r="F111">
        <f>JIKA(C111&lt;=D111;=JIKA(C111&lt;=E111;0;2);=JIKA(D111&lt;=E111;1;2))</f>
        <v/>
      </c>
      <c r="G111">
        <f>JUMLAH(JIKA(F111=0;JUMLAH(PANGKAT(Normalisasi!$J$37-Konvergensi!$B$129;2);PANGKAT(Normalisasi!$K$37-Konvergensi!$C$129;2);PANGKAT(Normalisasi!$L$37-Konvergensi!$D$129;2);PANGKAT(Normalisasi!$M$37-Konvergensi!$E$129;2);PANGKAT(Normalisasi!$N$37-Konvergensi!$F$129;2);PANGKAT(Normalisasi!$O$37-Konvergensi!$G$129;2);PANGKAT(Normalisasi!$P$37-Konvergensi!$H$129;2));0);JIKA(F111=1;JUMLAH(PANGKAT(Normalisasi!$J$37-Konvergensi!$B$130;2);PANGKAT(Normalisasi!$K$37-Konvergensi!$C$130;2);PANGKAT(Normalisasi!$L$37-Konvergensi!$D$130;2);PANGKAT(Normalisasi!$M$37-Konvergensi!$E$130;2);PANGKAT(Normalisasi!$N$37-Konvergensi!$F$130;2);PANGKAT(Normalisasi!$O$37-Konvergensi!$G$130;2);PANGKAT(Normalisasi!$P$37-Konvergensi!$H$130;2));0);JIKA(F111=2;JUMLAH(PANGKAT(Normalisasi!$J$37-Konvergensi!$B$131;2);PANGKAT(Normalisasi!$K$37-Konvergensi!$C$131;2);PANGKAT(Normalisasi!$L$37-Konvergensi!$D$131;2);PANGKAT(Normalisasi!$M$37-Konvergensi!$E$131;2);PANGKAT(Normalisasi!$N$37-Konvergensi!$F$131;2);PANGKAT(Normalisasi!$O$37-Konvergensi!$G$131;2);PANGKAT(Normalisasi!$P$37-Konvergensi!$H$131;2));0))</f>
        <v/>
      </c>
      <c r="H111" t="n">
        <v>0</v>
      </c>
      <c r="I111" t="n">
        <v>5.60077384933567</v>
      </c>
    </row>
    <row r="112">
      <c r="A112">
        <f>Data_Awal!A38</f>
        <v/>
      </c>
      <c r="B112">
        <f>Data_Awal!B38</f>
        <v/>
      </c>
      <c r="C112">
        <f>AKAR(JUMLAH(PANGKAT(Normalisasi!$J$38-Konvergensi!$B$64;2);PANGKAT(Normalisasi!$K$38-Konvergensi!$C$64;2);PANGKAT(Normalisasi!$L$38-Konvergensi!$D$64;2);PANGKAT(Normalisasi!$M$38-Konvergensi!$E$64;2);PANGKAT(Normalisasi!$N$38-Konvergensi!$F$64;2);PANGKAT(Normalisasi!$O$38-Konvergensi!$G$64;2);PANGKAT(Normalisasi!$P$38-Konvergensi!$H$64;2)))</f>
        <v/>
      </c>
      <c r="D112">
        <f>AKAR(JUMLAH(PANGKAT(Normalisasi!$J$38-Konvergensi!$B$65;2);PANGKAT(Normalisasi!$K$38-Konvergensi!$C$65;2);PANGKAT(Normalisasi!$L$38-Konvergensi!$D$65;2);PANGKAT(Normalisasi!$M$38-Konvergensi!$E$65;2);PANGKAT(Normalisasi!$N$38-Konvergensi!$F$65;2);PANGKAT(Normalisasi!$O$38-Konvergensi!$G$65;2);PANGKAT(Normalisasi!$P$38-Konvergensi!$H$65;2)))</f>
        <v/>
      </c>
      <c r="E112">
        <f>AKAR(JUMLAH(PANGKAT(Normalisasi!$J$38-Konvergensi!$B$66;2);PANGKAT(Normalisasi!$K$38-Konvergensi!$C$66;2);PANGKAT(Normalisasi!$L$38-Konvergensi!$D$66;2);PANGKAT(Normalisasi!$M$38-Konvergensi!$E$66;2);PANGKAT(Normalisasi!$N$38-Konvergensi!$F$66;2);PANGKAT(Normalisasi!$O$38-Konvergensi!$G$66;2);PANGKAT(Normalisasi!$P$38-Konvergensi!$H$66;2)))</f>
        <v/>
      </c>
      <c r="F112">
        <f>JIKA(C112&lt;=D112;=JIKA(C112&lt;=E112;0;2);=JIKA(D112&lt;=E112;1;2))</f>
        <v/>
      </c>
      <c r="G112">
        <f>JUMLAH(JIKA(F112=0;JUMLAH(PANGKAT(Normalisasi!$J$38-Konvergensi!$B$129;2);PANGKAT(Normalisasi!$K$38-Konvergensi!$C$129;2);PANGKAT(Normalisasi!$L$38-Konvergensi!$D$129;2);PANGKAT(Normalisasi!$M$38-Konvergensi!$E$129;2);PANGKAT(Normalisasi!$N$38-Konvergensi!$F$129;2);PANGKAT(Normalisasi!$O$38-Konvergensi!$G$129;2);PANGKAT(Normalisasi!$P$38-Konvergensi!$H$129;2));0);JIKA(F112=1;JUMLAH(PANGKAT(Normalisasi!$J$38-Konvergensi!$B$130;2);PANGKAT(Normalisasi!$K$38-Konvergensi!$C$130;2);PANGKAT(Normalisasi!$L$38-Konvergensi!$D$130;2);PANGKAT(Normalisasi!$M$38-Konvergensi!$E$130;2);PANGKAT(Normalisasi!$N$38-Konvergensi!$F$130;2);PANGKAT(Normalisasi!$O$38-Konvergensi!$G$130;2);PANGKAT(Normalisasi!$P$38-Konvergensi!$H$130;2));0);JIKA(F112=2;JUMLAH(PANGKAT(Normalisasi!$J$38-Konvergensi!$B$131;2);PANGKAT(Normalisasi!$K$38-Konvergensi!$C$131;2);PANGKAT(Normalisasi!$L$38-Konvergensi!$D$131;2);PANGKAT(Normalisasi!$M$38-Konvergensi!$E$131;2);PANGKAT(Normalisasi!$N$38-Konvergensi!$F$131;2);PANGKAT(Normalisasi!$O$38-Konvergensi!$G$131;2);PANGKAT(Normalisasi!$P$38-Konvergensi!$H$131;2));0))</f>
        <v/>
      </c>
      <c r="H112" t="n">
        <v>1</v>
      </c>
      <c r="I112" t="n">
        <v>4.046573155424091</v>
      </c>
    </row>
    <row r="113">
      <c r="A113">
        <f>Data_Awal!A39</f>
        <v/>
      </c>
      <c r="B113">
        <f>Data_Awal!B39</f>
        <v/>
      </c>
      <c r="C113">
        <f>AKAR(JUMLAH(PANGKAT(Normalisasi!$J$39-Konvergensi!$B$64;2);PANGKAT(Normalisasi!$K$39-Konvergensi!$C$64;2);PANGKAT(Normalisasi!$L$39-Konvergensi!$D$64;2);PANGKAT(Normalisasi!$M$39-Konvergensi!$E$64;2);PANGKAT(Normalisasi!$N$39-Konvergensi!$F$64;2);PANGKAT(Normalisasi!$O$39-Konvergensi!$G$64;2);PANGKAT(Normalisasi!$P$39-Konvergensi!$H$64;2)))</f>
        <v/>
      </c>
      <c r="D113">
        <f>AKAR(JUMLAH(PANGKAT(Normalisasi!$J$39-Konvergensi!$B$65;2);PANGKAT(Normalisasi!$K$39-Konvergensi!$C$65;2);PANGKAT(Normalisasi!$L$39-Konvergensi!$D$65;2);PANGKAT(Normalisasi!$M$39-Konvergensi!$E$65;2);PANGKAT(Normalisasi!$N$39-Konvergensi!$F$65;2);PANGKAT(Normalisasi!$O$39-Konvergensi!$G$65;2);PANGKAT(Normalisasi!$P$39-Konvergensi!$H$65;2)))</f>
        <v/>
      </c>
      <c r="E113">
        <f>AKAR(JUMLAH(PANGKAT(Normalisasi!$J$39-Konvergensi!$B$66;2);PANGKAT(Normalisasi!$K$39-Konvergensi!$C$66;2);PANGKAT(Normalisasi!$L$39-Konvergensi!$D$66;2);PANGKAT(Normalisasi!$M$39-Konvergensi!$E$66;2);PANGKAT(Normalisasi!$N$39-Konvergensi!$F$66;2);PANGKAT(Normalisasi!$O$39-Konvergensi!$G$66;2);PANGKAT(Normalisasi!$P$39-Konvergensi!$H$66;2)))</f>
        <v/>
      </c>
      <c r="F113">
        <f>JIKA(C113&lt;=D113;=JIKA(C113&lt;=E113;0;2);=JIKA(D113&lt;=E113;1;2))</f>
        <v/>
      </c>
      <c r="G113">
        <f>JUMLAH(JIKA(F113=0;JUMLAH(PANGKAT(Normalisasi!$J$39-Konvergensi!$B$129;2);PANGKAT(Normalisasi!$K$39-Konvergensi!$C$129;2);PANGKAT(Normalisasi!$L$39-Konvergensi!$D$129;2);PANGKAT(Normalisasi!$M$39-Konvergensi!$E$129;2);PANGKAT(Normalisasi!$N$39-Konvergensi!$F$129;2);PANGKAT(Normalisasi!$O$39-Konvergensi!$G$129;2);PANGKAT(Normalisasi!$P$39-Konvergensi!$H$129;2));0);JIKA(F113=1;JUMLAH(PANGKAT(Normalisasi!$J$39-Konvergensi!$B$130;2);PANGKAT(Normalisasi!$K$39-Konvergensi!$C$130;2);PANGKAT(Normalisasi!$L$39-Konvergensi!$D$130;2);PANGKAT(Normalisasi!$M$39-Konvergensi!$E$130;2);PANGKAT(Normalisasi!$N$39-Konvergensi!$F$130;2);PANGKAT(Normalisasi!$O$39-Konvergensi!$G$130;2);PANGKAT(Normalisasi!$P$39-Konvergensi!$H$130;2));0);JIKA(F113=2;JUMLAH(PANGKAT(Normalisasi!$J$39-Konvergensi!$B$131;2);PANGKAT(Normalisasi!$K$39-Konvergensi!$C$131;2);PANGKAT(Normalisasi!$L$39-Konvergensi!$D$131;2);PANGKAT(Normalisasi!$M$39-Konvergensi!$E$131;2);PANGKAT(Normalisasi!$N$39-Konvergensi!$F$131;2);PANGKAT(Normalisasi!$O$39-Konvergensi!$G$131;2);PANGKAT(Normalisasi!$P$39-Konvergensi!$H$131;2));0))</f>
        <v/>
      </c>
      <c r="H113" t="n">
        <v>0</v>
      </c>
      <c r="I113" t="n">
        <v>9.97780532314122</v>
      </c>
    </row>
    <row r="114">
      <c r="A114">
        <f>Data_Awal!A40</f>
        <v/>
      </c>
      <c r="B114">
        <f>Data_Awal!B40</f>
        <v/>
      </c>
      <c r="C114">
        <f>AKAR(JUMLAH(PANGKAT(Normalisasi!$J$40-Konvergensi!$B$64;2);PANGKAT(Normalisasi!$K$40-Konvergensi!$C$64;2);PANGKAT(Normalisasi!$L$40-Konvergensi!$D$64;2);PANGKAT(Normalisasi!$M$40-Konvergensi!$E$64;2);PANGKAT(Normalisasi!$N$40-Konvergensi!$F$64;2);PANGKAT(Normalisasi!$O$40-Konvergensi!$G$64;2);PANGKAT(Normalisasi!$P$40-Konvergensi!$H$64;2)))</f>
        <v/>
      </c>
      <c r="D114">
        <f>AKAR(JUMLAH(PANGKAT(Normalisasi!$J$40-Konvergensi!$B$65;2);PANGKAT(Normalisasi!$K$40-Konvergensi!$C$65;2);PANGKAT(Normalisasi!$L$40-Konvergensi!$D$65;2);PANGKAT(Normalisasi!$M$40-Konvergensi!$E$65;2);PANGKAT(Normalisasi!$N$40-Konvergensi!$F$65;2);PANGKAT(Normalisasi!$O$40-Konvergensi!$G$65;2);PANGKAT(Normalisasi!$P$40-Konvergensi!$H$65;2)))</f>
        <v/>
      </c>
      <c r="E114">
        <f>AKAR(JUMLAH(PANGKAT(Normalisasi!$J$40-Konvergensi!$B$66;2);PANGKAT(Normalisasi!$K$40-Konvergensi!$C$66;2);PANGKAT(Normalisasi!$L$40-Konvergensi!$D$66;2);PANGKAT(Normalisasi!$M$40-Konvergensi!$E$66;2);PANGKAT(Normalisasi!$N$40-Konvergensi!$F$66;2);PANGKAT(Normalisasi!$O$40-Konvergensi!$G$66;2);PANGKAT(Normalisasi!$P$40-Konvergensi!$H$66;2)))</f>
        <v/>
      </c>
      <c r="F114">
        <f>JIKA(C114&lt;=D114;=JIKA(C114&lt;=E114;0;2);=JIKA(D114&lt;=E114;1;2))</f>
        <v/>
      </c>
      <c r="G114">
        <f>JUMLAH(JIKA(F114=0;JUMLAH(PANGKAT(Normalisasi!$J$40-Konvergensi!$B$129;2);PANGKAT(Normalisasi!$K$40-Konvergensi!$C$129;2);PANGKAT(Normalisasi!$L$40-Konvergensi!$D$129;2);PANGKAT(Normalisasi!$M$40-Konvergensi!$E$129;2);PANGKAT(Normalisasi!$N$40-Konvergensi!$F$129;2);PANGKAT(Normalisasi!$O$40-Konvergensi!$G$129;2);PANGKAT(Normalisasi!$P$40-Konvergensi!$H$129;2));0);JIKA(F114=1;JUMLAH(PANGKAT(Normalisasi!$J$40-Konvergensi!$B$130;2);PANGKAT(Normalisasi!$K$40-Konvergensi!$C$130;2);PANGKAT(Normalisasi!$L$40-Konvergensi!$D$130;2);PANGKAT(Normalisasi!$M$40-Konvergensi!$E$130;2);PANGKAT(Normalisasi!$N$40-Konvergensi!$F$130;2);PANGKAT(Normalisasi!$O$40-Konvergensi!$G$130;2);PANGKAT(Normalisasi!$P$40-Konvergensi!$H$130;2));0);JIKA(F114=2;JUMLAH(PANGKAT(Normalisasi!$J$40-Konvergensi!$B$131;2);PANGKAT(Normalisasi!$K$40-Konvergensi!$C$131;2);PANGKAT(Normalisasi!$L$40-Konvergensi!$D$131;2);PANGKAT(Normalisasi!$M$40-Konvergensi!$E$131;2);PANGKAT(Normalisasi!$N$40-Konvergensi!$F$131;2);PANGKAT(Normalisasi!$O$40-Konvergensi!$G$131;2);PANGKAT(Normalisasi!$P$40-Konvergensi!$H$131;2));0))</f>
        <v/>
      </c>
      <c r="H114" t="n">
        <v>1</v>
      </c>
      <c r="I114" t="n">
        <v>4.741221600312443</v>
      </c>
    </row>
    <row r="115">
      <c r="A115">
        <f>Data_Awal!A41</f>
        <v/>
      </c>
      <c r="B115">
        <f>Data_Awal!B41</f>
        <v/>
      </c>
      <c r="C115">
        <f>AKAR(JUMLAH(PANGKAT(Normalisasi!$J$41-Konvergensi!$B$64;2);PANGKAT(Normalisasi!$K$41-Konvergensi!$C$64;2);PANGKAT(Normalisasi!$L$41-Konvergensi!$D$64;2);PANGKAT(Normalisasi!$M$41-Konvergensi!$E$64;2);PANGKAT(Normalisasi!$N$41-Konvergensi!$F$64;2);PANGKAT(Normalisasi!$O$41-Konvergensi!$G$64;2);PANGKAT(Normalisasi!$P$41-Konvergensi!$H$64;2)))</f>
        <v/>
      </c>
      <c r="D115">
        <f>AKAR(JUMLAH(PANGKAT(Normalisasi!$J$41-Konvergensi!$B$65;2);PANGKAT(Normalisasi!$K$41-Konvergensi!$C$65;2);PANGKAT(Normalisasi!$L$41-Konvergensi!$D$65;2);PANGKAT(Normalisasi!$M$41-Konvergensi!$E$65;2);PANGKAT(Normalisasi!$N$41-Konvergensi!$F$65;2);PANGKAT(Normalisasi!$O$41-Konvergensi!$G$65;2);PANGKAT(Normalisasi!$P$41-Konvergensi!$H$65;2)))</f>
        <v/>
      </c>
      <c r="E115">
        <f>AKAR(JUMLAH(PANGKAT(Normalisasi!$J$41-Konvergensi!$B$66;2);PANGKAT(Normalisasi!$K$41-Konvergensi!$C$66;2);PANGKAT(Normalisasi!$L$41-Konvergensi!$D$66;2);PANGKAT(Normalisasi!$M$41-Konvergensi!$E$66;2);PANGKAT(Normalisasi!$N$41-Konvergensi!$F$66;2);PANGKAT(Normalisasi!$O$41-Konvergensi!$G$66;2);PANGKAT(Normalisasi!$P$41-Konvergensi!$H$66;2)))</f>
        <v/>
      </c>
      <c r="F115">
        <f>JIKA(C115&lt;=D115;=JIKA(C115&lt;=E115;0;2);=JIKA(D115&lt;=E115;1;2))</f>
        <v/>
      </c>
      <c r="G115">
        <f>JUMLAH(JIKA(F115=0;JUMLAH(PANGKAT(Normalisasi!$J$41-Konvergensi!$B$129;2);PANGKAT(Normalisasi!$K$41-Konvergensi!$C$129;2);PANGKAT(Normalisasi!$L$41-Konvergensi!$D$129;2);PANGKAT(Normalisasi!$M$41-Konvergensi!$E$129;2);PANGKAT(Normalisasi!$N$41-Konvergensi!$F$129;2);PANGKAT(Normalisasi!$O$41-Konvergensi!$G$129;2);PANGKAT(Normalisasi!$P$41-Konvergensi!$H$129;2));0);JIKA(F115=1;JUMLAH(PANGKAT(Normalisasi!$J$41-Konvergensi!$B$130;2);PANGKAT(Normalisasi!$K$41-Konvergensi!$C$130;2);PANGKAT(Normalisasi!$L$41-Konvergensi!$D$130;2);PANGKAT(Normalisasi!$M$41-Konvergensi!$E$130;2);PANGKAT(Normalisasi!$N$41-Konvergensi!$F$130;2);PANGKAT(Normalisasi!$O$41-Konvergensi!$G$130;2);PANGKAT(Normalisasi!$P$41-Konvergensi!$H$130;2));0);JIKA(F115=2;JUMLAH(PANGKAT(Normalisasi!$J$41-Konvergensi!$B$131;2);PANGKAT(Normalisasi!$K$41-Konvergensi!$C$131;2);PANGKAT(Normalisasi!$L$41-Konvergensi!$D$131;2);PANGKAT(Normalisasi!$M$41-Konvergensi!$E$131;2);PANGKAT(Normalisasi!$N$41-Konvergensi!$F$131;2);PANGKAT(Normalisasi!$O$41-Konvergensi!$G$131;2);PANGKAT(Normalisasi!$P$41-Konvergensi!$H$131;2));0))</f>
        <v/>
      </c>
      <c r="H115" t="n">
        <v>1</v>
      </c>
      <c r="I115" t="n">
        <v>7.305191963054995</v>
      </c>
    </row>
    <row r="116">
      <c r="A116">
        <f>Data_Awal!A42</f>
        <v/>
      </c>
      <c r="B116">
        <f>Data_Awal!B42</f>
        <v/>
      </c>
      <c r="C116">
        <f>AKAR(JUMLAH(PANGKAT(Normalisasi!$J$42-Konvergensi!$B$64;2);PANGKAT(Normalisasi!$K$42-Konvergensi!$C$64;2);PANGKAT(Normalisasi!$L$42-Konvergensi!$D$64;2);PANGKAT(Normalisasi!$M$42-Konvergensi!$E$64;2);PANGKAT(Normalisasi!$N$42-Konvergensi!$F$64;2);PANGKAT(Normalisasi!$O$42-Konvergensi!$G$64;2);PANGKAT(Normalisasi!$P$42-Konvergensi!$H$64;2)))</f>
        <v/>
      </c>
      <c r="D116">
        <f>AKAR(JUMLAH(PANGKAT(Normalisasi!$J$42-Konvergensi!$B$65;2);PANGKAT(Normalisasi!$K$42-Konvergensi!$C$65;2);PANGKAT(Normalisasi!$L$42-Konvergensi!$D$65;2);PANGKAT(Normalisasi!$M$42-Konvergensi!$E$65;2);PANGKAT(Normalisasi!$N$42-Konvergensi!$F$65;2);PANGKAT(Normalisasi!$O$42-Konvergensi!$G$65;2);PANGKAT(Normalisasi!$P$42-Konvergensi!$H$65;2)))</f>
        <v/>
      </c>
      <c r="E116">
        <f>AKAR(JUMLAH(PANGKAT(Normalisasi!$J$42-Konvergensi!$B$66;2);PANGKAT(Normalisasi!$K$42-Konvergensi!$C$66;2);PANGKAT(Normalisasi!$L$42-Konvergensi!$D$66;2);PANGKAT(Normalisasi!$M$42-Konvergensi!$E$66;2);PANGKAT(Normalisasi!$N$42-Konvergensi!$F$66;2);PANGKAT(Normalisasi!$O$42-Konvergensi!$G$66;2);PANGKAT(Normalisasi!$P$42-Konvergensi!$H$66;2)))</f>
        <v/>
      </c>
      <c r="F116">
        <f>JIKA(C116&lt;=D116;=JIKA(C116&lt;=E116;0;2);=JIKA(D116&lt;=E116;1;2))</f>
        <v/>
      </c>
      <c r="G116">
        <f>JUMLAH(JIKA(F116=0;JUMLAH(PANGKAT(Normalisasi!$J$42-Konvergensi!$B$129;2);PANGKAT(Normalisasi!$K$42-Konvergensi!$C$129;2);PANGKAT(Normalisasi!$L$42-Konvergensi!$D$129;2);PANGKAT(Normalisasi!$M$42-Konvergensi!$E$129;2);PANGKAT(Normalisasi!$N$42-Konvergensi!$F$129;2);PANGKAT(Normalisasi!$O$42-Konvergensi!$G$129;2);PANGKAT(Normalisasi!$P$42-Konvergensi!$H$129;2));0);JIKA(F116=1;JUMLAH(PANGKAT(Normalisasi!$J$42-Konvergensi!$B$130;2);PANGKAT(Normalisasi!$K$42-Konvergensi!$C$130;2);PANGKAT(Normalisasi!$L$42-Konvergensi!$D$130;2);PANGKAT(Normalisasi!$M$42-Konvergensi!$E$130;2);PANGKAT(Normalisasi!$N$42-Konvergensi!$F$130;2);PANGKAT(Normalisasi!$O$42-Konvergensi!$G$130;2);PANGKAT(Normalisasi!$P$42-Konvergensi!$H$130;2));0);JIKA(F116=2;JUMLAH(PANGKAT(Normalisasi!$J$42-Konvergensi!$B$131;2);PANGKAT(Normalisasi!$K$42-Konvergensi!$C$131;2);PANGKAT(Normalisasi!$L$42-Konvergensi!$D$131;2);PANGKAT(Normalisasi!$M$42-Konvergensi!$E$131;2);PANGKAT(Normalisasi!$N$42-Konvergensi!$F$131;2);PANGKAT(Normalisasi!$O$42-Konvergensi!$G$131;2);PANGKAT(Normalisasi!$P$42-Konvergensi!$H$131;2));0))</f>
        <v/>
      </c>
      <c r="H116" t="n">
        <v>0</v>
      </c>
      <c r="I116" t="n">
        <v>1.69119902020072</v>
      </c>
    </row>
    <row r="117">
      <c r="A117">
        <f>Data_Awal!A43</f>
        <v/>
      </c>
      <c r="B117">
        <f>Data_Awal!B43</f>
        <v/>
      </c>
      <c r="C117">
        <f>AKAR(JUMLAH(PANGKAT(Normalisasi!$J$43-Konvergensi!$B$64;2);PANGKAT(Normalisasi!$K$43-Konvergensi!$C$64;2);PANGKAT(Normalisasi!$L$43-Konvergensi!$D$64;2);PANGKAT(Normalisasi!$M$43-Konvergensi!$E$64;2);PANGKAT(Normalisasi!$N$43-Konvergensi!$F$64;2);PANGKAT(Normalisasi!$O$43-Konvergensi!$G$64;2);PANGKAT(Normalisasi!$P$43-Konvergensi!$H$64;2)))</f>
        <v/>
      </c>
      <c r="D117">
        <f>AKAR(JUMLAH(PANGKAT(Normalisasi!$J$43-Konvergensi!$B$65;2);PANGKAT(Normalisasi!$K$43-Konvergensi!$C$65;2);PANGKAT(Normalisasi!$L$43-Konvergensi!$D$65;2);PANGKAT(Normalisasi!$M$43-Konvergensi!$E$65;2);PANGKAT(Normalisasi!$N$43-Konvergensi!$F$65;2);PANGKAT(Normalisasi!$O$43-Konvergensi!$G$65;2);PANGKAT(Normalisasi!$P$43-Konvergensi!$H$65;2)))</f>
        <v/>
      </c>
      <c r="E117">
        <f>AKAR(JUMLAH(PANGKAT(Normalisasi!$J$43-Konvergensi!$B$66;2);PANGKAT(Normalisasi!$K$43-Konvergensi!$C$66;2);PANGKAT(Normalisasi!$L$43-Konvergensi!$D$66;2);PANGKAT(Normalisasi!$M$43-Konvergensi!$E$66;2);PANGKAT(Normalisasi!$N$43-Konvergensi!$F$66;2);PANGKAT(Normalisasi!$O$43-Konvergensi!$G$66;2);PANGKAT(Normalisasi!$P$43-Konvergensi!$H$66;2)))</f>
        <v/>
      </c>
      <c r="F117">
        <f>JIKA(C117&lt;=D117;=JIKA(C117&lt;=E117;0;2);=JIKA(D117&lt;=E117;1;2))</f>
        <v/>
      </c>
      <c r="G117">
        <f>JUMLAH(JIKA(F117=0;JUMLAH(PANGKAT(Normalisasi!$J$43-Konvergensi!$B$129;2);PANGKAT(Normalisasi!$K$43-Konvergensi!$C$129;2);PANGKAT(Normalisasi!$L$43-Konvergensi!$D$129;2);PANGKAT(Normalisasi!$M$43-Konvergensi!$E$129;2);PANGKAT(Normalisasi!$N$43-Konvergensi!$F$129;2);PANGKAT(Normalisasi!$O$43-Konvergensi!$G$129;2);PANGKAT(Normalisasi!$P$43-Konvergensi!$H$129;2));0);JIKA(F117=1;JUMLAH(PANGKAT(Normalisasi!$J$43-Konvergensi!$B$130;2);PANGKAT(Normalisasi!$K$43-Konvergensi!$C$130;2);PANGKAT(Normalisasi!$L$43-Konvergensi!$D$130;2);PANGKAT(Normalisasi!$M$43-Konvergensi!$E$130;2);PANGKAT(Normalisasi!$N$43-Konvergensi!$F$130;2);PANGKAT(Normalisasi!$O$43-Konvergensi!$G$130;2);PANGKAT(Normalisasi!$P$43-Konvergensi!$H$130;2));0);JIKA(F117=2;JUMLAH(PANGKAT(Normalisasi!$J$43-Konvergensi!$B$131;2);PANGKAT(Normalisasi!$K$43-Konvergensi!$C$131;2);PANGKAT(Normalisasi!$L$43-Konvergensi!$D$131;2);PANGKAT(Normalisasi!$M$43-Konvergensi!$E$131;2);PANGKAT(Normalisasi!$N$43-Konvergensi!$F$131;2);PANGKAT(Normalisasi!$O$43-Konvergensi!$G$131;2);PANGKAT(Normalisasi!$P$43-Konvergensi!$H$131;2));0))</f>
        <v/>
      </c>
      <c r="H117" t="n">
        <v>2</v>
      </c>
      <c r="I117" t="n">
        <v>4.221229843021339</v>
      </c>
    </row>
    <row r="118">
      <c r="A118">
        <f>Data_Awal!A44</f>
        <v/>
      </c>
      <c r="B118">
        <f>Data_Awal!B44</f>
        <v/>
      </c>
      <c r="C118">
        <f>AKAR(JUMLAH(PANGKAT(Normalisasi!$J$44-Konvergensi!$B$64;2);PANGKAT(Normalisasi!$K$44-Konvergensi!$C$64;2);PANGKAT(Normalisasi!$L$44-Konvergensi!$D$64;2);PANGKAT(Normalisasi!$M$44-Konvergensi!$E$64;2);PANGKAT(Normalisasi!$N$44-Konvergensi!$F$64;2);PANGKAT(Normalisasi!$O$44-Konvergensi!$G$64;2);PANGKAT(Normalisasi!$P$44-Konvergensi!$H$64;2)))</f>
        <v/>
      </c>
      <c r="D118">
        <f>AKAR(JUMLAH(PANGKAT(Normalisasi!$J$44-Konvergensi!$B$65;2);PANGKAT(Normalisasi!$K$44-Konvergensi!$C$65;2);PANGKAT(Normalisasi!$L$44-Konvergensi!$D$65;2);PANGKAT(Normalisasi!$M$44-Konvergensi!$E$65;2);PANGKAT(Normalisasi!$N$44-Konvergensi!$F$65;2);PANGKAT(Normalisasi!$O$44-Konvergensi!$G$65;2);PANGKAT(Normalisasi!$P$44-Konvergensi!$H$65;2)))</f>
        <v/>
      </c>
      <c r="E118">
        <f>AKAR(JUMLAH(PANGKAT(Normalisasi!$J$44-Konvergensi!$B$66;2);PANGKAT(Normalisasi!$K$44-Konvergensi!$C$66;2);PANGKAT(Normalisasi!$L$44-Konvergensi!$D$66;2);PANGKAT(Normalisasi!$M$44-Konvergensi!$E$66;2);PANGKAT(Normalisasi!$N$44-Konvergensi!$F$66;2);PANGKAT(Normalisasi!$O$44-Konvergensi!$G$66;2);PANGKAT(Normalisasi!$P$44-Konvergensi!$H$66;2)))</f>
        <v/>
      </c>
      <c r="F118">
        <f>JIKA(C118&lt;=D118;=JIKA(C118&lt;=E118;0;2);=JIKA(D118&lt;=E118;1;2))</f>
        <v/>
      </c>
      <c r="G118">
        <f>JUMLAH(JIKA(F118=0;JUMLAH(PANGKAT(Normalisasi!$J$44-Konvergensi!$B$129;2);PANGKAT(Normalisasi!$K$44-Konvergensi!$C$129;2);PANGKAT(Normalisasi!$L$44-Konvergensi!$D$129;2);PANGKAT(Normalisasi!$M$44-Konvergensi!$E$129;2);PANGKAT(Normalisasi!$N$44-Konvergensi!$F$129;2);PANGKAT(Normalisasi!$O$44-Konvergensi!$G$129;2);PANGKAT(Normalisasi!$P$44-Konvergensi!$H$129;2));0);JIKA(F118=1;JUMLAH(PANGKAT(Normalisasi!$J$44-Konvergensi!$B$130;2);PANGKAT(Normalisasi!$K$44-Konvergensi!$C$130;2);PANGKAT(Normalisasi!$L$44-Konvergensi!$D$130;2);PANGKAT(Normalisasi!$M$44-Konvergensi!$E$130;2);PANGKAT(Normalisasi!$N$44-Konvergensi!$F$130;2);PANGKAT(Normalisasi!$O$44-Konvergensi!$G$130;2);PANGKAT(Normalisasi!$P$44-Konvergensi!$H$130;2));0);JIKA(F118=2;JUMLAH(PANGKAT(Normalisasi!$J$44-Konvergensi!$B$131;2);PANGKAT(Normalisasi!$K$44-Konvergensi!$C$131;2);PANGKAT(Normalisasi!$L$44-Konvergensi!$D$131;2);PANGKAT(Normalisasi!$M$44-Konvergensi!$E$131;2);PANGKAT(Normalisasi!$N$44-Konvergensi!$F$131;2);PANGKAT(Normalisasi!$O$44-Konvergensi!$G$131;2);PANGKAT(Normalisasi!$P$44-Konvergensi!$H$131;2));0))</f>
        <v/>
      </c>
      <c r="H118" t="n">
        <v>0</v>
      </c>
      <c r="I118" t="n">
        <v>3.852127282940175</v>
      </c>
    </row>
    <row r="119">
      <c r="A119">
        <f>Data_Awal!A45</f>
        <v/>
      </c>
      <c r="B119">
        <f>Data_Awal!B45</f>
        <v/>
      </c>
      <c r="C119">
        <f>AKAR(JUMLAH(PANGKAT(Normalisasi!$J$45-Konvergensi!$B$64;2);PANGKAT(Normalisasi!$K$45-Konvergensi!$C$64;2);PANGKAT(Normalisasi!$L$45-Konvergensi!$D$64;2);PANGKAT(Normalisasi!$M$45-Konvergensi!$E$64;2);PANGKAT(Normalisasi!$N$45-Konvergensi!$F$64;2);PANGKAT(Normalisasi!$O$45-Konvergensi!$G$64;2);PANGKAT(Normalisasi!$P$45-Konvergensi!$H$64;2)))</f>
        <v/>
      </c>
      <c r="D119">
        <f>AKAR(JUMLAH(PANGKAT(Normalisasi!$J$45-Konvergensi!$B$65;2);PANGKAT(Normalisasi!$K$45-Konvergensi!$C$65;2);PANGKAT(Normalisasi!$L$45-Konvergensi!$D$65;2);PANGKAT(Normalisasi!$M$45-Konvergensi!$E$65;2);PANGKAT(Normalisasi!$N$45-Konvergensi!$F$65;2);PANGKAT(Normalisasi!$O$45-Konvergensi!$G$65;2);PANGKAT(Normalisasi!$P$45-Konvergensi!$H$65;2)))</f>
        <v/>
      </c>
      <c r="E119">
        <f>AKAR(JUMLAH(PANGKAT(Normalisasi!$J$45-Konvergensi!$B$66;2);PANGKAT(Normalisasi!$K$45-Konvergensi!$C$66;2);PANGKAT(Normalisasi!$L$45-Konvergensi!$D$66;2);PANGKAT(Normalisasi!$M$45-Konvergensi!$E$66;2);PANGKAT(Normalisasi!$N$45-Konvergensi!$F$66;2);PANGKAT(Normalisasi!$O$45-Konvergensi!$G$66;2);PANGKAT(Normalisasi!$P$45-Konvergensi!$H$66;2)))</f>
        <v/>
      </c>
      <c r="F119">
        <f>JIKA(C119&lt;=D119;=JIKA(C119&lt;=E119;0;2);=JIKA(D119&lt;=E119;1;2))</f>
        <v/>
      </c>
      <c r="G119">
        <f>JUMLAH(JIKA(F119=0;JUMLAH(PANGKAT(Normalisasi!$J$45-Konvergensi!$B$129;2);PANGKAT(Normalisasi!$K$45-Konvergensi!$C$129;2);PANGKAT(Normalisasi!$L$45-Konvergensi!$D$129;2);PANGKAT(Normalisasi!$M$45-Konvergensi!$E$129;2);PANGKAT(Normalisasi!$N$45-Konvergensi!$F$129;2);PANGKAT(Normalisasi!$O$45-Konvergensi!$G$129;2);PANGKAT(Normalisasi!$P$45-Konvergensi!$H$129;2));0);JIKA(F119=1;JUMLAH(PANGKAT(Normalisasi!$J$45-Konvergensi!$B$130;2);PANGKAT(Normalisasi!$K$45-Konvergensi!$C$130;2);PANGKAT(Normalisasi!$L$45-Konvergensi!$D$130;2);PANGKAT(Normalisasi!$M$45-Konvergensi!$E$130;2);PANGKAT(Normalisasi!$N$45-Konvergensi!$F$130;2);PANGKAT(Normalisasi!$O$45-Konvergensi!$G$130;2);PANGKAT(Normalisasi!$P$45-Konvergensi!$H$130;2));0);JIKA(F119=2;JUMLAH(PANGKAT(Normalisasi!$J$45-Konvergensi!$B$131;2);PANGKAT(Normalisasi!$K$45-Konvergensi!$C$131;2);PANGKAT(Normalisasi!$L$45-Konvergensi!$D$131;2);PANGKAT(Normalisasi!$M$45-Konvergensi!$E$131;2);PANGKAT(Normalisasi!$N$45-Konvergensi!$F$131;2);PANGKAT(Normalisasi!$O$45-Konvergensi!$G$131;2);PANGKAT(Normalisasi!$P$45-Konvergensi!$H$131;2));0))</f>
        <v/>
      </c>
      <c r="H119" t="n">
        <v>0</v>
      </c>
      <c r="I119" t="n">
        <v>7.57906560398418</v>
      </c>
    </row>
    <row r="120">
      <c r="A120">
        <f>Data_Awal!A46</f>
        <v/>
      </c>
      <c r="B120">
        <f>Data_Awal!B46</f>
        <v/>
      </c>
      <c r="C120">
        <f>AKAR(JUMLAH(PANGKAT(Normalisasi!$J$46-Konvergensi!$B$64;2);PANGKAT(Normalisasi!$K$46-Konvergensi!$C$64;2);PANGKAT(Normalisasi!$L$46-Konvergensi!$D$64;2);PANGKAT(Normalisasi!$M$46-Konvergensi!$E$64;2);PANGKAT(Normalisasi!$N$46-Konvergensi!$F$64;2);PANGKAT(Normalisasi!$O$46-Konvergensi!$G$64;2);PANGKAT(Normalisasi!$P$46-Konvergensi!$H$64;2)))</f>
        <v/>
      </c>
      <c r="D120">
        <f>AKAR(JUMLAH(PANGKAT(Normalisasi!$J$46-Konvergensi!$B$65;2);PANGKAT(Normalisasi!$K$46-Konvergensi!$C$65;2);PANGKAT(Normalisasi!$L$46-Konvergensi!$D$65;2);PANGKAT(Normalisasi!$M$46-Konvergensi!$E$65;2);PANGKAT(Normalisasi!$N$46-Konvergensi!$F$65;2);PANGKAT(Normalisasi!$O$46-Konvergensi!$G$65;2);PANGKAT(Normalisasi!$P$46-Konvergensi!$H$65;2)))</f>
        <v/>
      </c>
      <c r="E120">
        <f>AKAR(JUMLAH(PANGKAT(Normalisasi!$J$46-Konvergensi!$B$66;2);PANGKAT(Normalisasi!$K$46-Konvergensi!$C$66;2);PANGKAT(Normalisasi!$L$46-Konvergensi!$D$66;2);PANGKAT(Normalisasi!$M$46-Konvergensi!$E$66;2);PANGKAT(Normalisasi!$N$46-Konvergensi!$F$66;2);PANGKAT(Normalisasi!$O$46-Konvergensi!$G$66;2);PANGKAT(Normalisasi!$P$46-Konvergensi!$H$66;2)))</f>
        <v/>
      </c>
      <c r="F120">
        <f>JIKA(C120&lt;=D120;=JIKA(C120&lt;=E120;0;2);=JIKA(D120&lt;=E120;1;2))</f>
        <v/>
      </c>
      <c r="G120">
        <f>JUMLAH(JIKA(F120=0;JUMLAH(PANGKAT(Normalisasi!$J$46-Konvergensi!$B$129;2);PANGKAT(Normalisasi!$K$46-Konvergensi!$C$129;2);PANGKAT(Normalisasi!$L$46-Konvergensi!$D$129;2);PANGKAT(Normalisasi!$M$46-Konvergensi!$E$129;2);PANGKAT(Normalisasi!$N$46-Konvergensi!$F$129;2);PANGKAT(Normalisasi!$O$46-Konvergensi!$G$129;2);PANGKAT(Normalisasi!$P$46-Konvergensi!$H$129;2));0);JIKA(F120=1;JUMLAH(PANGKAT(Normalisasi!$J$46-Konvergensi!$B$130;2);PANGKAT(Normalisasi!$K$46-Konvergensi!$C$130;2);PANGKAT(Normalisasi!$L$46-Konvergensi!$D$130;2);PANGKAT(Normalisasi!$M$46-Konvergensi!$E$130;2);PANGKAT(Normalisasi!$N$46-Konvergensi!$F$130;2);PANGKAT(Normalisasi!$O$46-Konvergensi!$G$130;2);PANGKAT(Normalisasi!$P$46-Konvergensi!$H$130;2));0);JIKA(F120=2;JUMLAH(PANGKAT(Normalisasi!$J$46-Konvergensi!$B$131;2);PANGKAT(Normalisasi!$K$46-Konvergensi!$C$131;2);PANGKAT(Normalisasi!$L$46-Konvergensi!$D$131;2);PANGKAT(Normalisasi!$M$46-Konvergensi!$E$131;2);PANGKAT(Normalisasi!$N$46-Konvergensi!$F$131;2);PANGKAT(Normalisasi!$O$46-Konvergensi!$G$131;2);PANGKAT(Normalisasi!$P$46-Konvergensi!$H$131;2));0))</f>
        <v/>
      </c>
      <c r="H120" t="n">
        <v>2</v>
      </c>
      <c r="I120" t="n">
        <v>4.520676976585029</v>
      </c>
    </row>
    <row r="121">
      <c r="A121">
        <f>Data_Awal!A47</f>
        <v/>
      </c>
      <c r="B121">
        <f>Data_Awal!B47</f>
        <v/>
      </c>
      <c r="C121">
        <f>AKAR(JUMLAH(PANGKAT(Normalisasi!$J$47-Konvergensi!$B$64;2);PANGKAT(Normalisasi!$K$47-Konvergensi!$C$64;2);PANGKAT(Normalisasi!$L$47-Konvergensi!$D$64;2);PANGKAT(Normalisasi!$M$47-Konvergensi!$E$64;2);PANGKAT(Normalisasi!$N$47-Konvergensi!$F$64;2);PANGKAT(Normalisasi!$O$47-Konvergensi!$G$64;2);PANGKAT(Normalisasi!$P$47-Konvergensi!$H$64;2)))</f>
        <v/>
      </c>
      <c r="D121">
        <f>AKAR(JUMLAH(PANGKAT(Normalisasi!$J$47-Konvergensi!$B$65;2);PANGKAT(Normalisasi!$K$47-Konvergensi!$C$65;2);PANGKAT(Normalisasi!$L$47-Konvergensi!$D$65;2);PANGKAT(Normalisasi!$M$47-Konvergensi!$E$65;2);PANGKAT(Normalisasi!$N$47-Konvergensi!$F$65;2);PANGKAT(Normalisasi!$O$47-Konvergensi!$G$65;2);PANGKAT(Normalisasi!$P$47-Konvergensi!$H$65;2)))</f>
        <v/>
      </c>
      <c r="E121">
        <f>AKAR(JUMLAH(PANGKAT(Normalisasi!$J$47-Konvergensi!$B$66;2);PANGKAT(Normalisasi!$K$47-Konvergensi!$C$66;2);PANGKAT(Normalisasi!$L$47-Konvergensi!$D$66;2);PANGKAT(Normalisasi!$M$47-Konvergensi!$E$66;2);PANGKAT(Normalisasi!$N$47-Konvergensi!$F$66;2);PANGKAT(Normalisasi!$O$47-Konvergensi!$G$66;2);PANGKAT(Normalisasi!$P$47-Konvergensi!$H$66;2)))</f>
        <v/>
      </c>
      <c r="F121">
        <f>JIKA(C121&lt;=D121;=JIKA(C121&lt;=E121;0;2);=JIKA(D121&lt;=E121;1;2))</f>
        <v/>
      </c>
      <c r="G121">
        <f>JUMLAH(JIKA(F121=0;JUMLAH(PANGKAT(Normalisasi!$J$47-Konvergensi!$B$129;2);PANGKAT(Normalisasi!$K$47-Konvergensi!$C$129;2);PANGKAT(Normalisasi!$L$47-Konvergensi!$D$129;2);PANGKAT(Normalisasi!$M$47-Konvergensi!$E$129;2);PANGKAT(Normalisasi!$N$47-Konvergensi!$F$129;2);PANGKAT(Normalisasi!$O$47-Konvergensi!$G$129;2);PANGKAT(Normalisasi!$P$47-Konvergensi!$H$129;2));0);JIKA(F121=1;JUMLAH(PANGKAT(Normalisasi!$J$47-Konvergensi!$B$130;2);PANGKAT(Normalisasi!$K$47-Konvergensi!$C$130;2);PANGKAT(Normalisasi!$L$47-Konvergensi!$D$130;2);PANGKAT(Normalisasi!$M$47-Konvergensi!$E$130;2);PANGKAT(Normalisasi!$N$47-Konvergensi!$F$130;2);PANGKAT(Normalisasi!$O$47-Konvergensi!$G$130;2);PANGKAT(Normalisasi!$P$47-Konvergensi!$H$130;2));0);JIKA(F121=2;JUMLAH(PANGKAT(Normalisasi!$J$47-Konvergensi!$B$131;2);PANGKAT(Normalisasi!$K$47-Konvergensi!$C$131;2);PANGKAT(Normalisasi!$L$47-Konvergensi!$D$131;2);PANGKAT(Normalisasi!$M$47-Konvergensi!$E$131;2);PANGKAT(Normalisasi!$N$47-Konvergensi!$F$131;2);PANGKAT(Normalisasi!$O$47-Konvergensi!$G$131;2);PANGKAT(Normalisasi!$P$47-Konvergensi!$H$131;2));0))</f>
        <v/>
      </c>
      <c r="H121" t="n">
        <v>2</v>
      </c>
      <c r="I121" t="n">
        <v>1.100309934390847</v>
      </c>
    </row>
    <row r="122">
      <c r="A122">
        <f>Data_Awal!A48</f>
        <v/>
      </c>
      <c r="B122">
        <f>Data_Awal!B48</f>
        <v/>
      </c>
      <c r="C122">
        <f>AKAR(JUMLAH(PANGKAT(Normalisasi!$J$48-Konvergensi!$B$64;2);PANGKAT(Normalisasi!$K$48-Konvergensi!$C$64;2);PANGKAT(Normalisasi!$L$48-Konvergensi!$D$64;2);PANGKAT(Normalisasi!$M$48-Konvergensi!$E$64;2);PANGKAT(Normalisasi!$N$48-Konvergensi!$F$64;2);PANGKAT(Normalisasi!$O$48-Konvergensi!$G$64;2);PANGKAT(Normalisasi!$P$48-Konvergensi!$H$64;2)))</f>
        <v/>
      </c>
      <c r="D122">
        <f>AKAR(JUMLAH(PANGKAT(Normalisasi!$J$48-Konvergensi!$B$65;2);PANGKAT(Normalisasi!$K$48-Konvergensi!$C$65;2);PANGKAT(Normalisasi!$L$48-Konvergensi!$D$65;2);PANGKAT(Normalisasi!$M$48-Konvergensi!$E$65;2);PANGKAT(Normalisasi!$N$48-Konvergensi!$F$65;2);PANGKAT(Normalisasi!$O$48-Konvergensi!$G$65;2);PANGKAT(Normalisasi!$P$48-Konvergensi!$H$65;2)))</f>
        <v/>
      </c>
      <c r="E122">
        <f>AKAR(JUMLAH(PANGKAT(Normalisasi!$J$48-Konvergensi!$B$66;2);PANGKAT(Normalisasi!$K$48-Konvergensi!$C$66;2);PANGKAT(Normalisasi!$L$48-Konvergensi!$D$66;2);PANGKAT(Normalisasi!$M$48-Konvergensi!$E$66;2);PANGKAT(Normalisasi!$N$48-Konvergensi!$F$66;2);PANGKAT(Normalisasi!$O$48-Konvergensi!$G$66;2);PANGKAT(Normalisasi!$P$48-Konvergensi!$H$66;2)))</f>
        <v/>
      </c>
      <c r="F122">
        <f>JIKA(C122&lt;=D122;=JIKA(C122&lt;=E122;0;2);=JIKA(D122&lt;=E122;1;2))</f>
        <v/>
      </c>
      <c r="G122">
        <f>JUMLAH(JIKA(F122=0;JUMLAH(PANGKAT(Normalisasi!$J$48-Konvergensi!$B$129;2);PANGKAT(Normalisasi!$K$48-Konvergensi!$C$129;2);PANGKAT(Normalisasi!$L$48-Konvergensi!$D$129;2);PANGKAT(Normalisasi!$M$48-Konvergensi!$E$129;2);PANGKAT(Normalisasi!$N$48-Konvergensi!$F$129;2);PANGKAT(Normalisasi!$O$48-Konvergensi!$G$129;2);PANGKAT(Normalisasi!$P$48-Konvergensi!$H$129;2));0);JIKA(F122=1;JUMLAH(PANGKAT(Normalisasi!$J$48-Konvergensi!$B$130;2);PANGKAT(Normalisasi!$K$48-Konvergensi!$C$130;2);PANGKAT(Normalisasi!$L$48-Konvergensi!$D$130;2);PANGKAT(Normalisasi!$M$48-Konvergensi!$E$130;2);PANGKAT(Normalisasi!$N$48-Konvergensi!$F$130;2);PANGKAT(Normalisasi!$O$48-Konvergensi!$G$130;2);PANGKAT(Normalisasi!$P$48-Konvergensi!$H$130;2));0);JIKA(F122=2;JUMLAH(PANGKAT(Normalisasi!$J$48-Konvergensi!$B$131;2);PANGKAT(Normalisasi!$K$48-Konvergensi!$C$131;2);PANGKAT(Normalisasi!$L$48-Konvergensi!$D$131;2);PANGKAT(Normalisasi!$M$48-Konvergensi!$E$131;2);PANGKAT(Normalisasi!$N$48-Konvergensi!$F$131;2);PANGKAT(Normalisasi!$O$48-Konvergensi!$G$131;2);PANGKAT(Normalisasi!$P$48-Konvergensi!$H$131;2));0))</f>
        <v/>
      </c>
      <c r="H122" t="n">
        <v>1</v>
      </c>
      <c r="I122" t="n">
        <v>2.515310562387401</v>
      </c>
    </row>
    <row r="123">
      <c r="A123">
        <f>Data_Awal!A49</f>
        <v/>
      </c>
      <c r="B123">
        <f>Data_Awal!B49</f>
        <v/>
      </c>
      <c r="C123">
        <f>AKAR(JUMLAH(PANGKAT(Normalisasi!$J$49-Konvergensi!$B$64;2);PANGKAT(Normalisasi!$K$49-Konvergensi!$C$64;2);PANGKAT(Normalisasi!$L$49-Konvergensi!$D$64;2);PANGKAT(Normalisasi!$M$49-Konvergensi!$E$64;2);PANGKAT(Normalisasi!$N$49-Konvergensi!$F$64;2);PANGKAT(Normalisasi!$O$49-Konvergensi!$G$64;2);PANGKAT(Normalisasi!$P$49-Konvergensi!$H$64;2)))</f>
        <v/>
      </c>
      <c r="D123">
        <f>AKAR(JUMLAH(PANGKAT(Normalisasi!$J$49-Konvergensi!$B$65;2);PANGKAT(Normalisasi!$K$49-Konvergensi!$C$65;2);PANGKAT(Normalisasi!$L$49-Konvergensi!$D$65;2);PANGKAT(Normalisasi!$M$49-Konvergensi!$E$65;2);PANGKAT(Normalisasi!$N$49-Konvergensi!$F$65;2);PANGKAT(Normalisasi!$O$49-Konvergensi!$G$65;2);PANGKAT(Normalisasi!$P$49-Konvergensi!$H$65;2)))</f>
        <v/>
      </c>
      <c r="E123">
        <f>AKAR(JUMLAH(PANGKAT(Normalisasi!$J$49-Konvergensi!$B$66;2);PANGKAT(Normalisasi!$K$49-Konvergensi!$C$66;2);PANGKAT(Normalisasi!$L$49-Konvergensi!$D$66;2);PANGKAT(Normalisasi!$M$49-Konvergensi!$E$66;2);PANGKAT(Normalisasi!$N$49-Konvergensi!$F$66;2);PANGKAT(Normalisasi!$O$49-Konvergensi!$G$66;2);PANGKAT(Normalisasi!$P$49-Konvergensi!$H$66;2)))</f>
        <v/>
      </c>
      <c r="F123">
        <f>JIKA(C123&lt;=D123;=JIKA(C123&lt;=E123;0;2);=JIKA(D123&lt;=E123;1;2))</f>
        <v/>
      </c>
      <c r="G123">
        <f>JUMLAH(JIKA(F123=0;JUMLAH(PANGKAT(Normalisasi!$J$49-Konvergensi!$B$129;2);PANGKAT(Normalisasi!$K$49-Konvergensi!$C$129;2);PANGKAT(Normalisasi!$L$49-Konvergensi!$D$129;2);PANGKAT(Normalisasi!$M$49-Konvergensi!$E$129;2);PANGKAT(Normalisasi!$N$49-Konvergensi!$F$129;2);PANGKAT(Normalisasi!$O$49-Konvergensi!$G$129;2);PANGKAT(Normalisasi!$P$49-Konvergensi!$H$129;2));0);JIKA(F123=1;JUMLAH(PANGKAT(Normalisasi!$J$49-Konvergensi!$B$130;2);PANGKAT(Normalisasi!$K$49-Konvergensi!$C$130;2);PANGKAT(Normalisasi!$L$49-Konvergensi!$D$130;2);PANGKAT(Normalisasi!$M$49-Konvergensi!$E$130;2);PANGKAT(Normalisasi!$N$49-Konvergensi!$F$130;2);PANGKAT(Normalisasi!$O$49-Konvergensi!$G$130;2);PANGKAT(Normalisasi!$P$49-Konvergensi!$H$130;2));0);JIKA(F123=2;JUMLAH(PANGKAT(Normalisasi!$J$49-Konvergensi!$B$131;2);PANGKAT(Normalisasi!$K$49-Konvergensi!$C$131;2);PANGKAT(Normalisasi!$L$49-Konvergensi!$D$131;2);PANGKAT(Normalisasi!$M$49-Konvergensi!$E$131;2);PANGKAT(Normalisasi!$N$49-Konvergensi!$F$131;2);PANGKAT(Normalisasi!$O$49-Konvergensi!$G$131;2);PANGKAT(Normalisasi!$P$49-Konvergensi!$H$131;2));0))</f>
        <v/>
      </c>
      <c r="H123" t="n">
        <v>0</v>
      </c>
      <c r="I123" t="n">
        <v>3.069209260563674</v>
      </c>
    </row>
    <row r="124">
      <c r="A124">
        <f>Data_Awal!A50</f>
        <v/>
      </c>
      <c r="B124">
        <f>Data_Awal!B50</f>
        <v/>
      </c>
      <c r="C124">
        <f>AKAR(JUMLAH(PANGKAT(Normalisasi!$J$50-Konvergensi!$B$64;2);PANGKAT(Normalisasi!$K$50-Konvergensi!$C$64;2);PANGKAT(Normalisasi!$L$50-Konvergensi!$D$64;2);PANGKAT(Normalisasi!$M$50-Konvergensi!$E$64;2);PANGKAT(Normalisasi!$N$50-Konvergensi!$F$64;2);PANGKAT(Normalisasi!$O$50-Konvergensi!$G$64;2);PANGKAT(Normalisasi!$P$50-Konvergensi!$H$64;2)))</f>
        <v/>
      </c>
      <c r="D124">
        <f>AKAR(JUMLAH(PANGKAT(Normalisasi!$J$50-Konvergensi!$B$65;2);PANGKAT(Normalisasi!$K$50-Konvergensi!$C$65;2);PANGKAT(Normalisasi!$L$50-Konvergensi!$D$65;2);PANGKAT(Normalisasi!$M$50-Konvergensi!$E$65;2);PANGKAT(Normalisasi!$N$50-Konvergensi!$F$65;2);PANGKAT(Normalisasi!$O$50-Konvergensi!$G$65;2);PANGKAT(Normalisasi!$P$50-Konvergensi!$H$65;2)))</f>
        <v/>
      </c>
      <c r="E124">
        <f>AKAR(JUMLAH(PANGKAT(Normalisasi!$J$50-Konvergensi!$B$66;2);PANGKAT(Normalisasi!$K$50-Konvergensi!$C$66;2);PANGKAT(Normalisasi!$L$50-Konvergensi!$D$66;2);PANGKAT(Normalisasi!$M$50-Konvergensi!$E$66;2);PANGKAT(Normalisasi!$N$50-Konvergensi!$F$66;2);PANGKAT(Normalisasi!$O$50-Konvergensi!$G$66;2);PANGKAT(Normalisasi!$P$50-Konvergensi!$H$66;2)))</f>
        <v/>
      </c>
      <c r="F124">
        <f>JIKA(C124&lt;=D124;=JIKA(C124&lt;=E124;0;2);=JIKA(D124&lt;=E124;1;2))</f>
        <v/>
      </c>
      <c r="G124">
        <f>JUMLAH(JIKA(F124=0;JUMLAH(PANGKAT(Normalisasi!$J$50-Konvergensi!$B$129;2);PANGKAT(Normalisasi!$K$50-Konvergensi!$C$129;2);PANGKAT(Normalisasi!$L$50-Konvergensi!$D$129;2);PANGKAT(Normalisasi!$M$50-Konvergensi!$E$129;2);PANGKAT(Normalisasi!$N$50-Konvergensi!$F$129;2);PANGKAT(Normalisasi!$O$50-Konvergensi!$G$129;2);PANGKAT(Normalisasi!$P$50-Konvergensi!$H$129;2));0);JIKA(F124=1;JUMLAH(PANGKAT(Normalisasi!$J$50-Konvergensi!$B$130;2);PANGKAT(Normalisasi!$K$50-Konvergensi!$C$130;2);PANGKAT(Normalisasi!$L$50-Konvergensi!$D$130;2);PANGKAT(Normalisasi!$M$50-Konvergensi!$E$130;2);PANGKAT(Normalisasi!$N$50-Konvergensi!$F$130;2);PANGKAT(Normalisasi!$O$50-Konvergensi!$G$130;2);PANGKAT(Normalisasi!$P$50-Konvergensi!$H$130;2));0);JIKA(F124=2;JUMLAH(PANGKAT(Normalisasi!$J$50-Konvergensi!$B$131;2);PANGKAT(Normalisasi!$K$50-Konvergensi!$C$131;2);PANGKAT(Normalisasi!$L$50-Konvergensi!$D$131;2);PANGKAT(Normalisasi!$M$50-Konvergensi!$E$131;2);PANGKAT(Normalisasi!$N$50-Konvergensi!$F$131;2);PANGKAT(Normalisasi!$O$50-Konvergensi!$G$131;2);PANGKAT(Normalisasi!$P$50-Konvergensi!$H$131;2));0))</f>
        <v/>
      </c>
      <c r="H124" t="n">
        <v>0</v>
      </c>
      <c r="I124" t="n">
        <v>4.361325262620516</v>
      </c>
    </row>
    <row r="125">
      <c r="A125">
        <f>Data_Awal!A51</f>
        <v/>
      </c>
      <c r="B125">
        <f>Data_Awal!B51</f>
        <v/>
      </c>
      <c r="C125">
        <f>AKAR(JUMLAH(PANGKAT(Normalisasi!$J$51-Konvergensi!$B$64;2);PANGKAT(Normalisasi!$K$51-Konvergensi!$C$64;2);PANGKAT(Normalisasi!$L$51-Konvergensi!$D$64;2);PANGKAT(Normalisasi!$M$51-Konvergensi!$E$64;2);PANGKAT(Normalisasi!$N$51-Konvergensi!$F$64;2);PANGKAT(Normalisasi!$O$51-Konvergensi!$G$64;2);PANGKAT(Normalisasi!$P$51-Konvergensi!$H$64;2)))</f>
        <v/>
      </c>
      <c r="D125">
        <f>AKAR(JUMLAH(PANGKAT(Normalisasi!$J$51-Konvergensi!$B$65;2);PANGKAT(Normalisasi!$K$51-Konvergensi!$C$65;2);PANGKAT(Normalisasi!$L$51-Konvergensi!$D$65;2);PANGKAT(Normalisasi!$M$51-Konvergensi!$E$65;2);PANGKAT(Normalisasi!$N$51-Konvergensi!$F$65;2);PANGKAT(Normalisasi!$O$51-Konvergensi!$G$65;2);PANGKAT(Normalisasi!$P$51-Konvergensi!$H$65;2)))</f>
        <v/>
      </c>
      <c r="E125">
        <f>AKAR(JUMLAH(PANGKAT(Normalisasi!$J$51-Konvergensi!$B$66;2);PANGKAT(Normalisasi!$K$51-Konvergensi!$C$66;2);PANGKAT(Normalisasi!$L$51-Konvergensi!$D$66;2);PANGKAT(Normalisasi!$M$51-Konvergensi!$E$66;2);PANGKAT(Normalisasi!$N$51-Konvergensi!$F$66;2);PANGKAT(Normalisasi!$O$51-Konvergensi!$G$66;2);PANGKAT(Normalisasi!$P$51-Konvergensi!$H$66;2)))</f>
        <v/>
      </c>
      <c r="F125">
        <f>JIKA(C125&lt;=D125;=JIKA(C125&lt;=E125;0;2);=JIKA(D125&lt;=E125;1;2))</f>
        <v/>
      </c>
      <c r="G125">
        <f>JUMLAH(JIKA(F125=0;JUMLAH(PANGKAT(Normalisasi!$J$51-Konvergensi!$B$129;2);PANGKAT(Normalisasi!$K$51-Konvergensi!$C$129;2);PANGKAT(Normalisasi!$L$51-Konvergensi!$D$129;2);PANGKAT(Normalisasi!$M$51-Konvergensi!$E$129;2);PANGKAT(Normalisasi!$N$51-Konvergensi!$F$129;2);PANGKAT(Normalisasi!$O$51-Konvergensi!$G$129;2);PANGKAT(Normalisasi!$P$51-Konvergensi!$H$129;2));0);JIKA(F125=1;JUMLAH(PANGKAT(Normalisasi!$J$51-Konvergensi!$B$130;2);PANGKAT(Normalisasi!$K$51-Konvergensi!$C$130;2);PANGKAT(Normalisasi!$L$51-Konvergensi!$D$130;2);PANGKAT(Normalisasi!$M$51-Konvergensi!$E$130;2);PANGKAT(Normalisasi!$N$51-Konvergensi!$F$130;2);PANGKAT(Normalisasi!$O$51-Konvergensi!$G$130;2);PANGKAT(Normalisasi!$P$51-Konvergensi!$H$130;2));0);JIKA(F125=2;JUMLAH(PANGKAT(Normalisasi!$J$51-Konvergensi!$B$131;2);PANGKAT(Normalisasi!$K$51-Konvergensi!$C$131;2);PANGKAT(Normalisasi!$L$51-Konvergensi!$D$131;2);PANGKAT(Normalisasi!$M$51-Konvergensi!$E$131;2);PANGKAT(Normalisasi!$N$51-Konvergensi!$F$131;2);PANGKAT(Normalisasi!$O$51-Konvergensi!$G$131;2);PANGKAT(Normalisasi!$P$51-Konvergensi!$H$131;2));0))</f>
        <v/>
      </c>
      <c r="H125" t="n">
        <v>0</v>
      </c>
      <c r="I125" t="n">
        <v>4.759981487935888</v>
      </c>
    </row>
    <row r="127">
      <c r="A127" s="4" t="inlineStr">
        <is>
          <t>Centroid baru setelah iter 2</t>
        </is>
      </c>
    </row>
    <row r="128">
      <c r="A128" t="inlineStr">
        <is>
          <t>Cluster</t>
        </is>
      </c>
      <c r="B128" s="1" t="inlineStr">
        <is>
          <t>Z Latitude</t>
        </is>
      </c>
      <c r="C128" s="1" t="inlineStr">
        <is>
          <t>Z Longitude</t>
        </is>
      </c>
      <c r="D128" s="1" t="inlineStr">
        <is>
          <t>Z Semantic Score</t>
        </is>
      </c>
      <c r="E128" s="1" t="inlineStr">
        <is>
          <t>Z Jarak Hotel (m)</t>
        </is>
      </c>
      <c r="F128" s="1" t="inlineStr">
        <is>
          <t>Z Jarak Halte (m)</t>
        </is>
      </c>
      <c r="G128" s="1" t="inlineStr">
        <is>
          <t>Z Restoran 500m</t>
        </is>
      </c>
      <c r="H128" s="1" t="inlineStr">
        <is>
          <t>Z Minimarket 500m</t>
        </is>
      </c>
    </row>
    <row r="129">
      <c r="A129" t="inlineStr">
        <is>
          <t>C0</t>
        </is>
      </c>
      <c r="B129">
        <f>RATA.RATA.JIKA($F$76:$F$125;0;Normalisasi!$J$2:$J$51)</f>
        <v/>
      </c>
      <c r="C129">
        <f>RATA.RATA.JIKA($F$76:$F$125;0;Normalisasi!$K$2:$K$51)</f>
        <v/>
      </c>
      <c r="D129">
        <f>RATA.RATA.JIKA($F$76:$F$125;0;Normalisasi!$L$2:$L$51)</f>
        <v/>
      </c>
      <c r="E129">
        <f>RATA.RATA.JIKA($F$76:$F$125;0;Normalisasi!$M$2:$M$51)</f>
        <v/>
      </c>
      <c r="F129">
        <f>RATA.RATA.JIKA($F$76:$F$125;0;Normalisasi!$N$2:$N$51)</f>
        <v/>
      </c>
      <c r="G129">
        <f>RATA.RATA.JIKA($F$76:$F$125;0;Normalisasi!$O$2:$O$51)</f>
        <v/>
      </c>
      <c r="H129">
        <f>RATA.RATA.JIKA($F$76:$F$125;0;Normalisasi!$P$2:$P$51)</f>
        <v/>
      </c>
      <c r="J129" t="n">
        <v>-0.1290085622609938</v>
      </c>
      <c r="K129" t="n">
        <v>-0.07142013371995665</v>
      </c>
      <c r="L129" t="n">
        <v>-0.1173366169719676</v>
      </c>
      <c r="M129" t="n">
        <v>-0.4633072388472638</v>
      </c>
      <c r="N129" t="n">
        <v>-0.3945805862800095</v>
      </c>
      <c r="O129" t="n">
        <v>-0.3624801391030815</v>
      </c>
      <c r="P129" t="n">
        <v>0.2389784487635085</v>
      </c>
    </row>
    <row r="130">
      <c r="A130" t="inlineStr">
        <is>
          <t>C1</t>
        </is>
      </c>
      <c r="B130">
        <f>RATA.RATA.JIKA($F$76:$F$125;1;Normalisasi!$J$2:$J$51)</f>
        <v/>
      </c>
      <c r="C130">
        <f>RATA.RATA.JIKA($F$76:$F$125;1;Normalisasi!$K$2:$K$51)</f>
        <v/>
      </c>
      <c r="D130">
        <f>RATA.RATA.JIKA($F$76:$F$125;1;Normalisasi!$L$2:$L$51)</f>
        <v/>
      </c>
      <c r="E130">
        <f>RATA.RATA.JIKA($F$76:$F$125;1;Normalisasi!$M$2:$M$51)</f>
        <v/>
      </c>
      <c r="F130">
        <f>RATA.RATA.JIKA($F$76:$F$125;1;Normalisasi!$N$2:$N$51)</f>
        <v/>
      </c>
      <c r="G130">
        <f>RATA.RATA.JIKA($F$76:$F$125;1;Normalisasi!$O$2:$O$51)</f>
        <v/>
      </c>
      <c r="H130">
        <f>RATA.RATA.JIKA($F$76:$F$125;1;Normalisasi!$P$2:$P$51)</f>
        <v/>
      </c>
      <c r="J130" t="n">
        <v>-0.1657279022145444</v>
      </c>
      <c r="K130" t="n">
        <v>0.1758635709175079</v>
      </c>
      <c r="L130" t="n">
        <v>0.2854088392484354</v>
      </c>
      <c r="M130" t="n">
        <v>0.5638900772964751</v>
      </c>
      <c r="N130" t="n">
        <v>1.046607242724782</v>
      </c>
      <c r="O130" t="n">
        <v>0.2611416055903919</v>
      </c>
      <c r="P130" t="n">
        <v>-0.8598521435832207</v>
      </c>
    </row>
    <row r="131">
      <c r="A131" t="inlineStr">
        <is>
          <t>C2</t>
        </is>
      </c>
      <c r="B131">
        <f>RATA.RATA.JIKA($F$76:$F$125;2;Normalisasi!$J$2:$J$51)</f>
        <v/>
      </c>
      <c r="C131">
        <f>RATA.RATA.JIKA($F$76:$F$125;2;Normalisasi!$K$2:$K$51)</f>
        <v/>
      </c>
      <c r="D131">
        <f>RATA.RATA.JIKA($F$76:$F$125;2;Normalisasi!$L$2:$L$51)</f>
        <v/>
      </c>
      <c r="E131">
        <f>RATA.RATA.JIKA($F$76:$F$125;2;Normalisasi!$M$2:$M$51)</f>
        <v/>
      </c>
      <c r="F131">
        <f>RATA.RATA.JIKA($F$76:$F$125;2;Normalisasi!$N$2:$N$51)</f>
        <v/>
      </c>
      <c r="G131">
        <f>RATA.RATA.JIKA($F$76:$F$125;2;Normalisasi!$O$2:$O$51)</f>
        <v/>
      </c>
      <c r="H131">
        <f>RATA.RATA.JIKA($F$76:$F$125;2;Normalisasi!$P$2:$P$51)</f>
        <v/>
      </c>
      <c r="J131" t="n">
        <v>1.037861139797914</v>
      </c>
      <c r="K131" t="n">
        <v>-0.09446161431310336</v>
      </c>
      <c r="L131" t="n">
        <v>-0.1463951160899174</v>
      </c>
      <c r="M131" t="n">
        <v>0.8295931278539204</v>
      </c>
      <c r="N131" t="n">
        <v>-0.7093786064585784</v>
      </c>
      <c r="O131" t="n">
        <v>1.099133325022247</v>
      </c>
      <c r="P131" t="n">
        <v>0.9945678566010949</v>
      </c>
    </row>
    <row r="133">
      <c r="A133" t="inlineStr">
        <is>
          <t>Total WCSS (Excel)</t>
        </is>
      </c>
      <c r="B133">
        <f>JUMLAH($G$76:$G$125)</f>
        <v/>
      </c>
    </row>
    <row r="134">
      <c r="A134" t="inlineStr">
        <is>
          <t>Total WCSS (Python)</t>
        </is>
      </c>
      <c r="B134" t="n">
        <v>270.3749606875792</v>
      </c>
    </row>
    <row r="135">
      <c r="A135" t="inlineStr">
        <is>
          <t>Selisih WCSS</t>
        </is>
      </c>
      <c r="B135">
        <f>ABS(B133-B134)</f>
        <v/>
      </c>
    </row>
    <row r="136">
      <c r="A136" t="inlineStr">
        <is>
          <t>Label berubah?</t>
        </is>
      </c>
      <c r="B136">
        <f>JIKA(JUMLAH(JIKA($F$76:$F$125&lt;&gt;$F$76:$F$125;1;0))=0;"Tidak";"Ya")</f>
        <v/>
      </c>
    </row>
    <row r="137">
      <c r="A137" t="inlineStr">
        <is>
          <t>Max shift centroid</t>
        </is>
      </c>
      <c r="B137" t="n">
        <v>0.3087724879395504</v>
      </c>
    </row>
    <row r="139">
      <c r="A139" s="4" t="inlineStr">
        <is>
          <t>ITER 3 — Assignment &amp; Centroid Baru</t>
        </is>
      </c>
    </row>
    <row r="140">
      <c r="A140" s="1" t="inlineStr">
        <is>
          <t>POI ID</t>
        </is>
      </c>
      <c r="B140" s="1" t="inlineStr">
        <is>
          <t>Nama</t>
        </is>
      </c>
      <c r="C140" s="1" t="inlineStr">
        <is>
          <t>d(C0)</t>
        </is>
      </c>
      <c r="D140" s="1" t="inlineStr">
        <is>
          <t>d(C1)</t>
        </is>
      </c>
      <c r="E140" s="1" t="inlineStr">
        <is>
          <t>d(C2)</t>
        </is>
      </c>
      <c r="F140" s="1" t="inlineStr">
        <is>
          <t>Cluster</t>
        </is>
      </c>
      <c r="G140" s="1" t="inlineStr">
        <is>
          <t>WCSS POI</t>
        </is>
      </c>
      <c r="H140" s="1" t="inlineStr">
        <is>
          <t>Py Cluster</t>
        </is>
      </c>
      <c r="I140" s="1" t="inlineStr">
        <is>
          <t>Py WCSS</t>
        </is>
      </c>
    </row>
    <row r="141">
      <c r="A141">
        <f>Data_Awal!A2</f>
        <v/>
      </c>
      <c r="B141">
        <f>Data_Awal!B2</f>
        <v/>
      </c>
      <c r="C141">
        <f>AKAR(JUMLAH(PANGKAT(Normalisasi!$J$2-Konvergensi!$B$129;2);PANGKAT(Normalisasi!$K$2-Konvergensi!$C$129;2);PANGKAT(Normalisasi!$L$2-Konvergensi!$D$129;2);PANGKAT(Normalisasi!$M$2-Konvergensi!$E$129;2);PANGKAT(Normalisasi!$N$2-Konvergensi!$F$129;2);PANGKAT(Normalisasi!$O$2-Konvergensi!$G$129;2);PANGKAT(Normalisasi!$P$2-Konvergensi!$H$129;2)))</f>
        <v/>
      </c>
      <c r="D141">
        <f>AKAR(JUMLAH(PANGKAT(Normalisasi!$J$2-Konvergensi!$B$130;2);PANGKAT(Normalisasi!$K$2-Konvergensi!$C$130;2);PANGKAT(Normalisasi!$L$2-Konvergensi!$D$130;2);PANGKAT(Normalisasi!$M$2-Konvergensi!$E$130;2);PANGKAT(Normalisasi!$N$2-Konvergensi!$F$130;2);PANGKAT(Normalisasi!$O$2-Konvergensi!$G$130;2);PANGKAT(Normalisasi!$P$2-Konvergensi!$H$130;2)))</f>
        <v/>
      </c>
      <c r="E141">
        <f>AKAR(JUMLAH(PANGKAT(Normalisasi!$J$2-Konvergensi!$B$131;2);PANGKAT(Normalisasi!$K$2-Konvergensi!$C$131;2);PANGKAT(Normalisasi!$L$2-Konvergensi!$D$131;2);PANGKAT(Normalisasi!$M$2-Konvergensi!$E$131;2);PANGKAT(Normalisasi!$N$2-Konvergensi!$F$131;2);PANGKAT(Normalisasi!$O$2-Konvergensi!$G$131;2);PANGKAT(Normalisasi!$P$2-Konvergensi!$H$131;2)))</f>
        <v/>
      </c>
      <c r="F141">
        <f>JIKA(C141&lt;=D141;=JIKA(C141&lt;=E141;0;2);=JIKA(D141&lt;=E141;1;2))</f>
        <v/>
      </c>
      <c r="G141">
        <f>JUMLAH(JIKA(F141=0;JUMLAH(PANGKAT(Normalisasi!$J$2-Konvergensi!$B$194;2);PANGKAT(Normalisasi!$K$2-Konvergensi!$C$194;2);PANGKAT(Normalisasi!$L$2-Konvergensi!$D$194;2);PANGKAT(Normalisasi!$M$2-Konvergensi!$E$194;2);PANGKAT(Normalisasi!$N$2-Konvergensi!$F$194;2);PANGKAT(Normalisasi!$O$2-Konvergensi!$G$194;2);PANGKAT(Normalisasi!$P$2-Konvergensi!$H$194;2));0);JIKA(F141=1;JUMLAH(PANGKAT(Normalisasi!$J$2-Konvergensi!$B$195;2);PANGKAT(Normalisasi!$K$2-Konvergensi!$C$195;2);PANGKAT(Normalisasi!$L$2-Konvergensi!$D$195;2);PANGKAT(Normalisasi!$M$2-Konvergensi!$E$195;2);PANGKAT(Normalisasi!$N$2-Konvergensi!$F$195;2);PANGKAT(Normalisasi!$O$2-Konvergensi!$G$195;2);PANGKAT(Normalisasi!$P$2-Konvergensi!$H$195;2));0);JIKA(F141=2;JUMLAH(PANGKAT(Normalisasi!$J$2-Konvergensi!$B$196;2);PANGKAT(Normalisasi!$K$2-Konvergensi!$C$196;2);PANGKAT(Normalisasi!$L$2-Konvergensi!$D$196;2);PANGKAT(Normalisasi!$M$2-Konvergensi!$E$196;2);PANGKAT(Normalisasi!$N$2-Konvergensi!$F$196;2);PANGKAT(Normalisasi!$O$2-Konvergensi!$G$196;2);PANGKAT(Normalisasi!$P$2-Konvergensi!$H$196;2));0))</f>
        <v/>
      </c>
      <c r="H141" t="n">
        <v>0</v>
      </c>
      <c r="I141" t="n">
        <v>6.717662461267937</v>
      </c>
    </row>
    <row r="142">
      <c r="A142">
        <f>Data_Awal!A3</f>
        <v/>
      </c>
      <c r="B142">
        <f>Data_Awal!B3</f>
        <v/>
      </c>
      <c r="C142">
        <f>AKAR(JUMLAH(PANGKAT(Normalisasi!$J$3-Konvergensi!$B$129;2);PANGKAT(Normalisasi!$K$3-Konvergensi!$C$129;2);PANGKAT(Normalisasi!$L$3-Konvergensi!$D$129;2);PANGKAT(Normalisasi!$M$3-Konvergensi!$E$129;2);PANGKAT(Normalisasi!$N$3-Konvergensi!$F$129;2);PANGKAT(Normalisasi!$O$3-Konvergensi!$G$129;2);PANGKAT(Normalisasi!$P$3-Konvergensi!$H$129;2)))</f>
        <v/>
      </c>
      <c r="D142">
        <f>AKAR(JUMLAH(PANGKAT(Normalisasi!$J$3-Konvergensi!$B$130;2);PANGKAT(Normalisasi!$K$3-Konvergensi!$C$130;2);PANGKAT(Normalisasi!$L$3-Konvergensi!$D$130;2);PANGKAT(Normalisasi!$M$3-Konvergensi!$E$130;2);PANGKAT(Normalisasi!$N$3-Konvergensi!$F$130;2);PANGKAT(Normalisasi!$O$3-Konvergensi!$G$130;2);PANGKAT(Normalisasi!$P$3-Konvergensi!$H$130;2)))</f>
        <v/>
      </c>
      <c r="E142">
        <f>AKAR(JUMLAH(PANGKAT(Normalisasi!$J$3-Konvergensi!$B$131;2);PANGKAT(Normalisasi!$K$3-Konvergensi!$C$131;2);PANGKAT(Normalisasi!$L$3-Konvergensi!$D$131;2);PANGKAT(Normalisasi!$M$3-Konvergensi!$E$131;2);PANGKAT(Normalisasi!$N$3-Konvergensi!$F$131;2);PANGKAT(Normalisasi!$O$3-Konvergensi!$G$131;2);PANGKAT(Normalisasi!$P$3-Konvergensi!$H$131;2)))</f>
        <v/>
      </c>
      <c r="F142">
        <f>JIKA(C142&lt;=D142;=JIKA(C142&lt;=E142;0;2);=JIKA(D142&lt;=E142;1;2))</f>
        <v/>
      </c>
      <c r="G142">
        <f>JUMLAH(JIKA(F142=0;JUMLAH(PANGKAT(Normalisasi!$J$3-Konvergensi!$B$194;2);PANGKAT(Normalisasi!$K$3-Konvergensi!$C$194;2);PANGKAT(Normalisasi!$L$3-Konvergensi!$D$194;2);PANGKAT(Normalisasi!$M$3-Konvergensi!$E$194;2);PANGKAT(Normalisasi!$N$3-Konvergensi!$F$194;2);PANGKAT(Normalisasi!$O$3-Konvergensi!$G$194;2);PANGKAT(Normalisasi!$P$3-Konvergensi!$H$194;2));0);JIKA(F142=1;JUMLAH(PANGKAT(Normalisasi!$J$3-Konvergensi!$B$195;2);PANGKAT(Normalisasi!$K$3-Konvergensi!$C$195;2);PANGKAT(Normalisasi!$L$3-Konvergensi!$D$195;2);PANGKAT(Normalisasi!$M$3-Konvergensi!$E$195;2);PANGKAT(Normalisasi!$N$3-Konvergensi!$F$195;2);PANGKAT(Normalisasi!$O$3-Konvergensi!$G$195;2);PANGKAT(Normalisasi!$P$3-Konvergensi!$H$195;2));0);JIKA(F142=2;JUMLAH(PANGKAT(Normalisasi!$J$3-Konvergensi!$B$196;2);PANGKAT(Normalisasi!$K$3-Konvergensi!$C$196;2);PANGKAT(Normalisasi!$L$3-Konvergensi!$D$196;2);PANGKAT(Normalisasi!$M$3-Konvergensi!$E$196;2);PANGKAT(Normalisasi!$N$3-Konvergensi!$F$196;2);PANGKAT(Normalisasi!$O$3-Konvergensi!$G$196;2);PANGKAT(Normalisasi!$P$3-Konvergensi!$H$196;2));0))</f>
        <v/>
      </c>
      <c r="H142" t="n">
        <v>1</v>
      </c>
      <c r="I142" t="n">
        <v>6.23025285156297</v>
      </c>
    </row>
    <row r="143">
      <c r="A143">
        <f>Data_Awal!A4</f>
        <v/>
      </c>
      <c r="B143">
        <f>Data_Awal!B4</f>
        <v/>
      </c>
      <c r="C143">
        <f>AKAR(JUMLAH(PANGKAT(Normalisasi!$J$4-Konvergensi!$B$129;2);PANGKAT(Normalisasi!$K$4-Konvergensi!$C$129;2);PANGKAT(Normalisasi!$L$4-Konvergensi!$D$129;2);PANGKAT(Normalisasi!$M$4-Konvergensi!$E$129;2);PANGKAT(Normalisasi!$N$4-Konvergensi!$F$129;2);PANGKAT(Normalisasi!$O$4-Konvergensi!$G$129;2);PANGKAT(Normalisasi!$P$4-Konvergensi!$H$129;2)))</f>
        <v/>
      </c>
      <c r="D143">
        <f>AKAR(JUMLAH(PANGKAT(Normalisasi!$J$4-Konvergensi!$B$130;2);PANGKAT(Normalisasi!$K$4-Konvergensi!$C$130;2);PANGKAT(Normalisasi!$L$4-Konvergensi!$D$130;2);PANGKAT(Normalisasi!$M$4-Konvergensi!$E$130;2);PANGKAT(Normalisasi!$N$4-Konvergensi!$F$130;2);PANGKAT(Normalisasi!$O$4-Konvergensi!$G$130;2);PANGKAT(Normalisasi!$P$4-Konvergensi!$H$130;2)))</f>
        <v/>
      </c>
      <c r="E143">
        <f>AKAR(JUMLAH(PANGKAT(Normalisasi!$J$4-Konvergensi!$B$131;2);PANGKAT(Normalisasi!$K$4-Konvergensi!$C$131;2);PANGKAT(Normalisasi!$L$4-Konvergensi!$D$131;2);PANGKAT(Normalisasi!$M$4-Konvergensi!$E$131;2);PANGKAT(Normalisasi!$N$4-Konvergensi!$F$131;2);PANGKAT(Normalisasi!$O$4-Konvergensi!$G$131;2);PANGKAT(Normalisasi!$P$4-Konvergensi!$H$131;2)))</f>
        <v/>
      </c>
      <c r="F143">
        <f>JIKA(C143&lt;=D143;=JIKA(C143&lt;=E143;0;2);=JIKA(D143&lt;=E143;1;2))</f>
        <v/>
      </c>
      <c r="G143">
        <f>JUMLAH(JIKA(F143=0;JUMLAH(PANGKAT(Normalisasi!$J$4-Konvergensi!$B$194;2);PANGKAT(Normalisasi!$K$4-Konvergensi!$C$194;2);PANGKAT(Normalisasi!$L$4-Konvergensi!$D$194;2);PANGKAT(Normalisasi!$M$4-Konvergensi!$E$194;2);PANGKAT(Normalisasi!$N$4-Konvergensi!$F$194;2);PANGKAT(Normalisasi!$O$4-Konvergensi!$G$194;2);PANGKAT(Normalisasi!$P$4-Konvergensi!$H$194;2));0);JIKA(F143=1;JUMLAH(PANGKAT(Normalisasi!$J$4-Konvergensi!$B$195;2);PANGKAT(Normalisasi!$K$4-Konvergensi!$C$195;2);PANGKAT(Normalisasi!$L$4-Konvergensi!$D$195;2);PANGKAT(Normalisasi!$M$4-Konvergensi!$E$195;2);PANGKAT(Normalisasi!$N$4-Konvergensi!$F$195;2);PANGKAT(Normalisasi!$O$4-Konvergensi!$G$195;2);PANGKAT(Normalisasi!$P$4-Konvergensi!$H$195;2));0);JIKA(F143=2;JUMLAH(PANGKAT(Normalisasi!$J$4-Konvergensi!$B$196;2);PANGKAT(Normalisasi!$K$4-Konvergensi!$C$196;2);PANGKAT(Normalisasi!$L$4-Konvergensi!$D$196;2);PANGKAT(Normalisasi!$M$4-Konvergensi!$E$196;2);PANGKAT(Normalisasi!$N$4-Konvergensi!$F$196;2);PANGKAT(Normalisasi!$O$4-Konvergensi!$G$196;2);PANGKAT(Normalisasi!$P$4-Konvergensi!$H$196;2));0))</f>
        <v/>
      </c>
      <c r="H143" t="n">
        <v>1</v>
      </c>
      <c r="I143" t="n">
        <v>5.699312262706178</v>
      </c>
    </row>
    <row r="144">
      <c r="A144">
        <f>Data_Awal!A5</f>
        <v/>
      </c>
      <c r="B144">
        <f>Data_Awal!B5</f>
        <v/>
      </c>
      <c r="C144">
        <f>AKAR(JUMLAH(PANGKAT(Normalisasi!$J$5-Konvergensi!$B$129;2);PANGKAT(Normalisasi!$K$5-Konvergensi!$C$129;2);PANGKAT(Normalisasi!$L$5-Konvergensi!$D$129;2);PANGKAT(Normalisasi!$M$5-Konvergensi!$E$129;2);PANGKAT(Normalisasi!$N$5-Konvergensi!$F$129;2);PANGKAT(Normalisasi!$O$5-Konvergensi!$G$129;2);PANGKAT(Normalisasi!$P$5-Konvergensi!$H$129;2)))</f>
        <v/>
      </c>
      <c r="D144">
        <f>AKAR(JUMLAH(PANGKAT(Normalisasi!$J$5-Konvergensi!$B$130;2);PANGKAT(Normalisasi!$K$5-Konvergensi!$C$130;2);PANGKAT(Normalisasi!$L$5-Konvergensi!$D$130;2);PANGKAT(Normalisasi!$M$5-Konvergensi!$E$130;2);PANGKAT(Normalisasi!$N$5-Konvergensi!$F$130;2);PANGKAT(Normalisasi!$O$5-Konvergensi!$G$130;2);PANGKAT(Normalisasi!$P$5-Konvergensi!$H$130;2)))</f>
        <v/>
      </c>
      <c r="E144">
        <f>AKAR(JUMLAH(PANGKAT(Normalisasi!$J$5-Konvergensi!$B$131;2);PANGKAT(Normalisasi!$K$5-Konvergensi!$C$131;2);PANGKAT(Normalisasi!$L$5-Konvergensi!$D$131;2);PANGKAT(Normalisasi!$M$5-Konvergensi!$E$131;2);PANGKAT(Normalisasi!$N$5-Konvergensi!$F$131;2);PANGKAT(Normalisasi!$O$5-Konvergensi!$G$131;2);PANGKAT(Normalisasi!$P$5-Konvergensi!$H$131;2)))</f>
        <v/>
      </c>
      <c r="F144">
        <f>JIKA(C144&lt;=D144;=JIKA(C144&lt;=E144;0;2);=JIKA(D144&lt;=E144;1;2))</f>
        <v/>
      </c>
      <c r="G144">
        <f>JUMLAH(JIKA(F144=0;JUMLAH(PANGKAT(Normalisasi!$J$5-Konvergensi!$B$194;2);PANGKAT(Normalisasi!$K$5-Konvergensi!$C$194;2);PANGKAT(Normalisasi!$L$5-Konvergensi!$D$194;2);PANGKAT(Normalisasi!$M$5-Konvergensi!$E$194;2);PANGKAT(Normalisasi!$N$5-Konvergensi!$F$194;2);PANGKAT(Normalisasi!$O$5-Konvergensi!$G$194;2);PANGKAT(Normalisasi!$P$5-Konvergensi!$H$194;2));0);JIKA(F144=1;JUMLAH(PANGKAT(Normalisasi!$J$5-Konvergensi!$B$195;2);PANGKAT(Normalisasi!$K$5-Konvergensi!$C$195;2);PANGKAT(Normalisasi!$L$5-Konvergensi!$D$195;2);PANGKAT(Normalisasi!$M$5-Konvergensi!$E$195;2);PANGKAT(Normalisasi!$N$5-Konvergensi!$F$195;2);PANGKAT(Normalisasi!$O$5-Konvergensi!$G$195;2);PANGKAT(Normalisasi!$P$5-Konvergensi!$H$195;2));0);JIKA(F144=2;JUMLAH(PANGKAT(Normalisasi!$J$5-Konvergensi!$B$196;2);PANGKAT(Normalisasi!$K$5-Konvergensi!$C$196;2);PANGKAT(Normalisasi!$L$5-Konvergensi!$D$196;2);PANGKAT(Normalisasi!$M$5-Konvergensi!$E$196;2);PANGKAT(Normalisasi!$N$5-Konvergensi!$F$196;2);PANGKAT(Normalisasi!$O$5-Konvergensi!$G$196;2);PANGKAT(Normalisasi!$P$5-Konvergensi!$H$196;2));0))</f>
        <v/>
      </c>
      <c r="H144" t="n">
        <v>0</v>
      </c>
      <c r="I144" t="n">
        <v>6.562200636903556</v>
      </c>
    </row>
    <row r="145">
      <c r="A145">
        <f>Data_Awal!A6</f>
        <v/>
      </c>
      <c r="B145">
        <f>Data_Awal!B6</f>
        <v/>
      </c>
      <c r="C145">
        <f>AKAR(JUMLAH(PANGKAT(Normalisasi!$J$6-Konvergensi!$B$129;2);PANGKAT(Normalisasi!$K$6-Konvergensi!$C$129;2);PANGKAT(Normalisasi!$L$6-Konvergensi!$D$129;2);PANGKAT(Normalisasi!$M$6-Konvergensi!$E$129;2);PANGKAT(Normalisasi!$N$6-Konvergensi!$F$129;2);PANGKAT(Normalisasi!$O$6-Konvergensi!$G$129;2);PANGKAT(Normalisasi!$P$6-Konvergensi!$H$129;2)))</f>
        <v/>
      </c>
      <c r="D145">
        <f>AKAR(JUMLAH(PANGKAT(Normalisasi!$J$6-Konvergensi!$B$130;2);PANGKAT(Normalisasi!$K$6-Konvergensi!$C$130;2);PANGKAT(Normalisasi!$L$6-Konvergensi!$D$130;2);PANGKAT(Normalisasi!$M$6-Konvergensi!$E$130;2);PANGKAT(Normalisasi!$N$6-Konvergensi!$F$130;2);PANGKAT(Normalisasi!$O$6-Konvergensi!$G$130;2);PANGKAT(Normalisasi!$P$6-Konvergensi!$H$130;2)))</f>
        <v/>
      </c>
      <c r="E145">
        <f>AKAR(JUMLAH(PANGKAT(Normalisasi!$J$6-Konvergensi!$B$131;2);PANGKAT(Normalisasi!$K$6-Konvergensi!$C$131;2);PANGKAT(Normalisasi!$L$6-Konvergensi!$D$131;2);PANGKAT(Normalisasi!$M$6-Konvergensi!$E$131;2);PANGKAT(Normalisasi!$N$6-Konvergensi!$F$131;2);PANGKAT(Normalisasi!$O$6-Konvergensi!$G$131;2);PANGKAT(Normalisasi!$P$6-Konvergensi!$H$131;2)))</f>
        <v/>
      </c>
      <c r="F145">
        <f>JIKA(C145&lt;=D145;=JIKA(C145&lt;=E145;0;2);=JIKA(D145&lt;=E145;1;2))</f>
        <v/>
      </c>
      <c r="G145">
        <f>JUMLAH(JIKA(F145=0;JUMLAH(PANGKAT(Normalisasi!$J$6-Konvergensi!$B$194;2);PANGKAT(Normalisasi!$K$6-Konvergensi!$C$194;2);PANGKAT(Normalisasi!$L$6-Konvergensi!$D$194;2);PANGKAT(Normalisasi!$M$6-Konvergensi!$E$194;2);PANGKAT(Normalisasi!$N$6-Konvergensi!$F$194;2);PANGKAT(Normalisasi!$O$6-Konvergensi!$G$194;2);PANGKAT(Normalisasi!$P$6-Konvergensi!$H$194;2));0);JIKA(F145=1;JUMLAH(PANGKAT(Normalisasi!$J$6-Konvergensi!$B$195;2);PANGKAT(Normalisasi!$K$6-Konvergensi!$C$195;2);PANGKAT(Normalisasi!$L$6-Konvergensi!$D$195;2);PANGKAT(Normalisasi!$M$6-Konvergensi!$E$195;2);PANGKAT(Normalisasi!$N$6-Konvergensi!$F$195;2);PANGKAT(Normalisasi!$O$6-Konvergensi!$G$195;2);PANGKAT(Normalisasi!$P$6-Konvergensi!$H$195;2));0);JIKA(F145=2;JUMLAH(PANGKAT(Normalisasi!$J$6-Konvergensi!$B$196;2);PANGKAT(Normalisasi!$K$6-Konvergensi!$C$196;2);PANGKAT(Normalisasi!$L$6-Konvergensi!$D$196;2);PANGKAT(Normalisasi!$M$6-Konvergensi!$E$196;2);PANGKAT(Normalisasi!$N$6-Konvergensi!$F$196;2);PANGKAT(Normalisasi!$O$6-Konvergensi!$G$196;2);PANGKAT(Normalisasi!$P$6-Konvergensi!$H$196;2));0))</f>
        <v/>
      </c>
      <c r="H145" t="n">
        <v>0</v>
      </c>
      <c r="I145" t="n">
        <v>6.602582277345745</v>
      </c>
    </row>
    <row r="146">
      <c r="A146">
        <f>Data_Awal!A7</f>
        <v/>
      </c>
      <c r="B146">
        <f>Data_Awal!B7</f>
        <v/>
      </c>
      <c r="C146">
        <f>AKAR(JUMLAH(PANGKAT(Normalisasi!$J$7-Konvergensi!$B$129;2);PANGKAT(Normalisasi!$K$7-Konvergensi!$C$129;2);PANGKAT(Normalisasi!$L$7-Konvergensi!$D$129;2);PANGKAT(Normalisasi!$M$7-Konvergensi!$E$129;2);PANGKAT(Normalisasi!$N$7-Konvergensi!$F$129;2);PANGKAT(Normalisasi!$O$7-Konvergensi!$G$129;2);PANGKAT(Normalisasi!$P$7-Konvergensi!$H$129;2)))</f>
        <v/>
      </c>
      <c r="D146">
        <f>AKAR(JUMLAH(PANGKAT(Normalisasi!$J$7-Konvergensi!$B$130;2);PANGKAT(Normalisasi!$K$7-Konvergensi!$C$130;2);PANGKAT(Normalisasi!$L$7-Konvergensi!$D$130;2);PANGKAT(Normalisasi!$M$7-Konvergensi!$E$130;2);PANGKAT(Normalisasi!$N$7-Konvergensi!$F$130;2);PANGKAT(Normalisasi!$O$7-Konvergensi!$G$130;2);PANGKAT(Normalisasi!$P$7-Konvergensi!$H$130;2)))</f>
        <v/>
      </c>
      <c r="E146">
        <f>AKAR(JUMLAH(PANGKAT(Normalisasi!$J$7-Konvergensi!$B$131;2);PANGKAT(Normalisasi!$K$7-Konvergensi!$C$131;2);PANGKAT(Normalisasi!$L$7-Konvergensi!$D$131;2);PANGKAT(Normalisasi!$M$7-Konvergensi!$E$131;2);PANGKAT(Normalisasi!$N$7-Konvergensi!$F$131;2);PANGKAT(Normalisasi!$O$7-Konvergensi!$G$131;2);PANGKAT(Normalisasi!$P$7-Konvergensi!$H$131;2)))</f>
        <v/>
      </c>
      <c r="F146">
        <f>JIKA(C146&lt;=D146;=JIKA(C146&lt;=E146;0;2);=JIKA(D146&lt;=E146;1;2))</f>
        <v/>
      </c>
      <c r="G146">
        <f>JUMLAH(JIKA(F146=0;JUMLAH(PANGKAT(Normalisasi!$J$7-Konvergensi!$B$194;2);PANGKAT(Normalisasi!$K$7-Konvergensi!$C$194;2);PANGKAT(Normalisasi!$L$7-Konvergensi!$D$194;2);PANGKAT(Normalisasi!$M$7-Konvergensi!$E$194;2);PANGKAT(Normalisasi!$N$7-Konvergensi!$F$194;2);PANGKAT(Normalisasi!$O$7-Konvergensi!$G$194;2);PANGKAT(Normalisasi!$P$7-Konvergensi!$H$194;2));0);JIKA(F146=1;JUMLAH(PANGKAT(Normalisasi!$J$7-Konvergensi!$B$195;2);PANGKAT(Normalisasi!$K$7-Konvergensi!$C$195;2);PANGKAT(Normalisasi!$L$7-Konvergensi!$D$195;2);PANGKAT(Normalisasi!$M$7-Konvergensi!$E$195;2);PANGKAT(Normalisasi!$N$7-Konvergensi!$F$195;2);PANGKAT(Normalisasi!$O$7-Konvergensi!$G$195;2);PANGKAT(Normalisasi!$P$7-Konvergensi!$H$195;2));0);JIKA(F146=2;JUMLAH(PANGKAT(Normalisasi!$J$7-Konvergensi!$B$196;2);PANGKAT(Normalisasi!$K$7-Konvergensi!$C$196;2);PANGKAT(Normalisasi!$L$7-Konvergensi!$D$196;2);PANGKAT(Normalisasi!$M$7-Konvergensi!$E$196;2);PANGKAT(Normalisasi!$N$7-Konvergensi!$F$196;2);PANGKAT(Normalisasi!$O$7-Konvergensi!$G$196;2);PANGKAT(Normalisasi!$P$7-Konvergensi!$H$196;2));0))</f>
        <v/>
      </c>
      <c r="H146" t="n">
        <v>0</v>
      </c>
      <c r="I146" t="n">
        <v>6.015300908131995</v>
      </c>
    </row>
    <row r="147">
      <c r="A147">
        <f>Data_Awal!A8</f>
        <v/>
      </c>
      <c r="B147">
        <f>Data_Awal!B8</f>
        <v/>
      </c>
      <c r="C147">
        <f>AKAR(JUMLAH(PANGKAT(Normalisasi!$J$8-Konvergensi!$B$129;2);PANGKAT(Normalisasi!$K$8-Konvergensi!$C$129;2);PANGKAT(Normalisasi!$L$8-Konvergensi!$D$129;2);PANGKAT(Normalisasi!$M$8-Konvergensi!$E$129;2);PANGKAT(Normalisasi!$N$8-Konvergensi!$F$129;2);PANGKAT(Normalisasi!$O$8-Konvergensi!$G$129;2);PANGKAT(Normalisasi!$P$8-Konvergensi!$H$129;2)))</f>
        <v/>
      </c>
      <c r="D147">
        <f>AKAR(JUMLAH(PANGKAT(Normalisasi!$J$8-Konvergensi!$B$130;2);PANGKAT(Normalisasi!$K$8-Konvergensi!$C$130;2);PANGKAT(Normalisasi!$L$8-Konvergensi!$D$130;2);PANGKAT(Normalisasi!$M$8-Konvergensi!$E$130;2);PANGKAT(Normalisasi!$N$8-Konvergensi!$F$130;2);PANGKAT(Normalisasi!$O$8-Konvergensi!$G$130;2);PANGKAT(Normalisasi!$P$8-Konvergensi!$H$130;2)))</f>
        <v/>
      </c>
      <c r="E147">
        <f>AKAR(JUMLAH(PANGKAT(Normalisasi!$J$8-Konvergensi!$B$131;2);PANGKAT(Normalisasi!$K$8-Konvergensi!$C$131;2);PANGKAT(Normalisasi!$L$8-Konvergensi!$D$131;2);PANGKAT(Normalisasi!$M$8-Konvergensi!$E$131;2);PANGKAT(Normalisasi!$N$8-Konvergensi!$F$131;2);PANGKAT(Normalisasi!$O$8-Konvergensi!$G$131;2);PANGKAT(Normalisasi!$P$8-Konvergensi!$H$131;2)))</f>
        <v/>
      </c>
      <c r="F147">
        <f>JIKA(C147&lt;=D147;=JIKA(C147&lt;=E147;0;2);=JIKA(D147&lt;=E147;1;2))</f>
        <v/>
      </c>
      <c r="G147">
        <f>JUMLAH(JIKA(F147=0;JUMLAH(PANGKAT(Normalisasi!$J$8-Konvergensi!$B$194;2);PANGKAT(Normalisasi!$K$8-Konvergensi!$C$194;2);PANGKAT(Normalisasi!$L$8-Konvergensi!$D$194;2);PANGKAT(Normalisasi!$M$8-Konvergensi!$E$194;2);PANGKAT(Normalisasi!$N$8-Konvergensi!$F$194;2);PANGKAT(Normalisasi!$O$8-Konvergensi!$G$194;2);PANGKAT(Normalisasi!$P$8-Konvergensi!$H$194;2));0);JIKA(F147=1;JUMLAH(PANGKAT(Normalisasi!$J$8-Konvergensi!$B$195;2);PANGKAT(Normalisasi!$K$8-Konvergensi!$C$195;2);PANGKAT(Normalisasi!$L$8-Konvergensi!$D$195;2);PANGKAT(Normalisasi!$M$8-Konvergensi!$E$195;2);PANGKAT(Normalisasi!$N$8-Konvergensi!$F$195;2);PANGKAT(Normalisasi!$O$8-Konvergensi!$G$195;2);PANGKAT(Normalisasi!$P$8-Konvergensi!$H$195;2));0);JIKA(F147=2;JUMLAH(PANGKAT(Normalisasi!$J$8-Konvergensi!$B$196;2);PANGKAT(Normalisasi!$K$8-Konvergensi!$C$196;2);PANGKAT(Normalisasi!$L$8-Konvergensi!$D$196;2);PANGKAT(Normalisasi!$M$8-Konvergensi!$E$196;2);PANGKAT(Normalisasi!$N$8-Konvergensi!$F$196;2);PANGKAT(Normalisasi!$O$8-Konvergensi!$G$196;2);PANGKAT(Normalisasi!$P$8-Konvergensi!$H$196;2));0))</f>
        <v/>
      </c>
      <c r="H147" t="n">
        <v>0</v>
      </c>
      <c r="I147" t="n">
        <v>8.797969480157947</v>
      </c>
    </row>
    <row r="148">
      <c r="A148">
        <f>Data_Awal!A9</f>
        <v/>
      </c>
      <c r="B148">
        <f>Data_Awal!B9</f>
        <v/>
      </c>
      <c r="C148">
        <f>AKAR(JUMLAH(PANGKAT(Normalisasi!$J$9-Konvergensi!$B$129;2);PANGKAT(Normalisasi!$K$9-Konvergensi!$C$129;2);PANGKAT(Normalisasi!$L$9-Konvergensi!$D$129;2);PANGKAT(Normalisasi!$M$9-Konvergensi!$E$129;2);PANGKAT(Normalisasi!$N$9-Konvergensi!$F$129;2);PANGKAT(Normalisasi!$O$9-Konvergensi!$G$129;2);PANGKAT(Normalisasi!$P$9-Konvergensi!$H$129;2)))</f>
        <v/>
      </c>
      <c r="D148">
        <f>AKAR(JUMLAH(PANGKAT(Normalisasi!$J$9-Konvergensi!$B$130;2);PANGKAT(Normalisasi!$K$9-Konvergensi!$C$130;2);PANGKAT(Normalisasi!$L$9-Konvergensi!$D$130;2);PANGKAT(Normalisasi!$M$9-Konvergensi!$E$130;2);PANGKAT(Normalisasi!$N$9-Konvergensi!$F$130;2);PANGKAT(Normalisasi!$O$9-Konvergensi!$G$130;2);PANGKAT(Normalisasi!$P$9-Konvergensi!$H$130;2)))</f>
        <v/>
      </c>
      <c r="E148">
        <f>AKAR(JUMLAH(PANGKAT(Normalisasi!$J$9-Konvergensi!$B$131;2);PANGKAT(Normalisasi!$K$9-Konvergensi!$C$131;2);PANGKAT(Normalisasi!$L$9-Konvergensi!$D$131;2);PANGKAT(Normalisasi!$M$9-Konvergensi!$E$131;2);PANGKAT(Normalisasi!$N$9-Konvergensi!$F$131;2);PANGKAT(Normalisasi!$O$9-Konvergensi!$G$131;2);PANGKAT(Normalisasi!$P$9-Konvergensi!$H$131;2)))</f>
        <v/>
      </c>
      <c r="F148">
        <f>JIKA(C148&lt;=D148;=JIKA(C148&lt;=E148;0;2);=JIKA(D148&lt;=E148;1;2))</f>
        <v/>
      </c>
      <c r="G148">
        <f>JUMLAH(JIKA(F148=0;JUMLAH(PANGKAT(Normalisasi!$J$9-Konvergensi!$B$194;2);PANGKAT(Normalisasi!$K$9-Konvergensi!$C$194;2);PANGKAT(Normalisasi!$L$9-Konvergensi!$D$194;2);PANGKAT(Normalisasi!$M$9-Konvergensi!$E$194;2);PANGKAT(Normalisasi!$N$9-Konvergensi!$F$194;2);PANGKAT(Normalisasi!$O$9-Konvergensi!$G$194;2);PANGKAT(Normalisasi!$P$9-Konvergensi!$H$194;2));0);JIKA(F148=1;JUMLAH(PANGKAT(Normalisasi!$J$9-Konvergensi!$B$195;2);PANGKAT(Normalisasi!$K$9-Konvergensi!$C$195;2);PANGKAT(Normalisasi!$L$9-Konvergensi!$D$195;2);PANGKAT(Normalisasi!$M$9-Konvergensi!$E$195;2);PANGKAT(Normalisasi!$N$9-Konvergensi!$F$195;2);PANGKAT(Normalisasi!$O$9-Konvergensi!$G$195;2);PANGKAT(Normalisasi!$P$9-Konvergensi!$H$195;2));0);JIKA(F148=2;JUMLAH(PANGKAT(Normalisasi!$J$9-Konvergensi!$B$196;2);PANGKAT(Normalisasi!$K$9-Konvergensi!$C$196;2);PANGKAT(Normalisasi!$L$9-Konvergensi!$D$196;2);PANGKAT(Normalisasi!$M$9-Konvergensi!$E$196;2);PANGKAT(Normalisasi!$N$9-Konvergensi!$F$196;2);PANGKAT(Normalisasi!$O$9-Konvergensi!$G$196;2);PANGKAT(Normalisasi!$P$9-Konvergensi!$H$196;2));0))</f>
        <v/>
      </c>
      <c r="H148" t="n">
        <v>1</v>
      </c>
      <c r="I148" t="n">
        <v>6.846697401376302</v>
      </c>
    </row>
    <row r="149">
      <c r="A149">
        <f>Data_Awal!A10</f>
        <v/>
      </c>
      <c r="B149">
        <f>Data_Awal!B10</f>
        <v/>
      </c>
      <c r="C149">
        <f>AKAR(JUMLAH(PANGKAT(Normalisasi!$J$10-Konvergensi!$B$129;2);PANGKAT(Normalisasi!$K$10-Konvergensi!$C$129;2);PANGKAT(Normalisasi!$L$10-Konvergensi!$D$129;2);PANGKAT(Normalisasi!$M$10-Konvergensi!$E$129;2);PANGKAT(Normalisasi!$N$10-Konvergensi!$F$129;2);PANGKAT(Normalisasi!$O$10-Konvergensi!$G$129;2);PANGKAT(Normalisasi!$P$10-Konvergensi!$H$129;2)))</f>
        <v/>
      </c>
      <c r="D149">
        <f>AKAR(JUMLAH(PANGKAT(Normalisasi!$J$10-Konvergensi!$B$130;2);PANGKAT(Normalisasi!$K$10-Konvergensi!$C$130;2);PANGKAT(Normalisasi!$L$10-Konvergensi!$D$130;2);PANGKAT(Normalisasi!$M$10-Konvergensi!$E$130;2);PANGKAT(Normalisasi!$N$10-Konvergensi!$F$130;2);PANGKAT(Normalisasi!$O$10-Konvergensi!$G$130;2);PANGKAT(Normalisasi!$P$10-Konvergensi!$H$130;2)))</f>
        <v/>
      </c>
      <c r="E149">
        <f>AKAR(JUMLAH(PANGKAT(Normalisasi!$J$10-Konvergensi!$B$131;2);PANGKAT(Normalisasi!$K$10-Konvergensi!$C$131;2);PANGKAT(Normalisasi!$L$10-Konvergensi!$D$131;2);PANGKAT(Normalisasi!$M$10-Konvergensi!$E$131;2);PANGKAT(Normalisasi!$N$10-Konvergensi!$F$131;2);PANGKAT(Normalisasi!$O$10-Konvergensi!$G$131;2);PANGKAT(Normalisasi!$P$10-Konvergensi!$H$131;2)))</f>
        <v/>
      </c>
      <c r="F149">
        <f>JIKA(C149&lt;=D149;=JIKA(C149&lt;=E149;0;2);=JIKA(D149&lt;=E149;1;2))</f>
        <v/>
      </c>
      <c r="G149">
        <f>JUMLAH(JIKA(F149=0;JUMLAH(PANGKAT(Normalisasi!$J$10-Konvergensi!$B$194;2);PANGKAT(Normalisasi!$K$10-Konvergensi!$C$194;2);PANGKAT(Normalisasi!$L$10-Konvergensi!$D$194;2);PANGKAT(Normalisasi!$M$10-Konvergensi!$E$194;2);PANGKAT(Normalisasi!$N$10-Konvergensi!$F$194;2);PANGKAT(Normalisasi!$O$10-Konvergensi!$G$194;2);PANGKAT(Normalisasi!$P$10-Konvergensi!$H$194;2));0);JIKA(F149=1;JUMLAH(PANGKAT(Normalisasi!$J$10-Konvergensi!$B$195;2);PANGKAT(Normalisasi!$K$10-Konvergensi!$C$195;2);PANGKAT(Normalisasi!$L$10-Konvergensi!$D$195;2);PANGKAT(Normalisasi!$M$10-Konvergensi!$E$195;2);PANGKAT(Normalisasi!$N$10-Konvergensi!$F$195;2);PANGKAT(Normalisasi!$O$10-Konvergensi!$G$195;2);PANGKAT(Normalisasi!$P$10-Konvergensi!$H$195;2));0);JIKA(F149=2;JUMLAH(PANGKAT(Normalisasi!$J$10-Konvergensi!$B$196;2);PANGKAT(Normalisasi!$K$10-Konvergensi!$C$196;2);PANGKAT(Normalisasi!$L$10-Konvergensi!$D$196;2);PANGKAT(Normalisasi!$M$10-Konvergensi!$E$196;2);PANGKAT(Normalisasi!$N$10-Konvergensi!$F$196;2);PANGKAT(Normalisasi!$O$10-Konvergensi!$G$196;2);PANGKAT(Normalisasi!$P$10-Konvergensi!$H$196;2));0))</f>
        <v/>
      </c>
      <c r="H149" t="n">
        <v>0</v>
      </c>
      <c r="I149" t="n">
        <v>4.581667242031342</v>
      </c>
    </row>
    <row r="150">
      <c r="A150">
        <f>Data_Awal!A11</f>
        <v/>
      </c>
      <c r="B150">
        <f>Data_Awal!B11</f>
        <v/>
      </c>
      <c r="C150">
        <f>AKAR(JUMLAH(PANGKAT(Normalisasi!$J$11-Konvergensi!$B$129;2);PANGKAT(Normalisasi!$K$11-Konvergensi!$C$129;2);PANGKAT(Normalisasi!$L$11-Konvergensi!$D$129;2);PANGKAT(Normalisasi!$M$11-Konvergensi!$E$129;2);PANGKAT(Normalisasi!$N$11-Konvergensi!$F$129;2);PANGKAT(Normalisasi!$O$11-Konvergensi!$G$129;2);PANGKAT(Normalisasi!$P$11-Konvergensi!$H$129;2)))</f>
        <v/>
      </c>
      <c r="D150">
        <f>AKAR(JUMLAH(PANGKAT(Normalisasi!$J$11-Konvergensi!$B$130;2);PANGKAT(Normalisasi!$K$11-Konvergensi!$C$130;2);PANGKAT(Normalisasi!$L$11-Konvergensi!$D$130;2);PANGKAT(Normalisasi!$M$11-Konvergensi!$E$130;2);PANGKAT(Normalisasi!$N$11-Konvergensi!$F$130;2);PANGKAT(Normalisasi!$O$11-Konvergensi!$G$130;2);PANGKAT(Normalisasi!$P$11-Konvergensi!$H$130;2)))</f>
        <v/>
      </c>
      <c r="E150">
        <f>AKAR(JUMLAH(PANGKAT(Normalisasi!$J$11-Konvergensi!$B$131;2);PANGKAT(Normalisasi!$K$11-Konvergensi!$C$131;2);PANGKAT(Normalisasi!$L$11-Konvergensi!$D$131;2);PANGKAT(Normalisasi!$M$11-Konvergensi!$E$131;2);PANGKAT(Normalisasi!$N$11-Konvergensi!$F$131;2);PANGKAT(Normalisasi!$O$11-Konvergensi!$G$131;2);PANGKAT(Normalisasi!$P$11-Konvergensi!$H$131;2)))</f>
        <v/>
      </c>
      <c r="F150">
        <f>JIKA(C150&lt;=D150;=JIKA(C150&lt;=E150;0;2);=JIKA(D150&lt;=E150;1;2))</f>
        <v/>
      </c>
      <c r="G150">
        <f>JUMLAH(JIKA(F150=0;JUMLAH(PANGKAT(Normalisasi!$J$11-Konvergensi!$B$194;2);PANGKAT(Normalisasi!$K$11-Konvergensi!$C$194;2);PANGKAT(Normalisasi!$L$11-Konvergensi!$D$194;2);PANGKAT(Normalisasi!$M$11-Konvergensi!$E$194;2);PANGKAT(Normalisasi!$N$11-Konvergensi!$F$194;2);PANGKAT(Normalisasi!$O$11-Konvergensi!$G$194;2);PANGKAT(Normalisasi!$P$11-Konvergensi!$H$194;2));0);JIKA(F150=1;JUMLAH(PANGKAT(Normalisasi!$J$11-Konvergensi!$B$195;2);PANGKAT(Normalisasi!$K$11-Konvergensi!$C$195;2);PANGKAT(Normalisasi!$L$11-Konvergensi!$D$195;2);PANGKAT(Normalisasi!$M$11-Konvergensi!$E$195;2);PANGKAT(Normalisasi!$N$11-Konvergensi!$F$195;2);PANGKAT(Normalisasi!$O$11-Konvergensi!$G$195;2);PANGKAT(Normalisasi!$P$11-Konvergensi!$H$195;2));0);JIKA(F150=2;JUMLAH(PANGKAT(Normalisasi!$J$11-Konvergensi!$B$196;2);PANGKAT(Normalisasi!$K$11-Konvergensi!$C$196;2);PANGKAT(Normalisasi!$L$11-Konvergensi!$D$196;2);PANGKAT(Normalisasi!$M$11-Konvergensi!$E$196;2);PANGKAT(Normalisasi!$N$11-Konvergensi!$F$196;2);PANGKAT(Normalisasi!$O$11-Konvergensi!$G$196;2);PANGKAT(Normalisasi!$P$11-Konvergensi!$H$196;2));0))</f>
        <v/>
      </c>
      <c r="H150" t="n">
        <v>1</v>
      </c>
      <c r="I150" t="n">
        <v>1.618477953833825</v>
      </c>
    </row>
    <row r="151">
      <c r="A151">
        <f>Data_Awal!A12</f>
        <v/>
      </c>
      <c r="B151">
        <f>Data_Awal!B12</f>
        <v/>
      </c>
      <c r="C151">
        <f>AKAR(JUMLAH(PANGKAT(Normalisasi!$J$12-Konvergensi!$B$129;2);PANGKAT(Normalisasi!$K$12-Konvergensi!$C$129;2);PANGKAT(Normalisasi!$L$12-Konvergensi!$D$129;2);PANGKAT(Normalisasi!$M$12-Konvergensi!$E$129;2);PANGKAT(Normalisasi!$N$12-Konvergensi!$F$129;2);PANGKAT(Normalisasi!$O$12-Konvergensi!$G$129;2);PANGKAT(Normalisasi!$P$12-Konvergensi!$H$129;2)))</f>
        <v/>
      </c>
      <c r="D151">
        <f>AKAR(JUMLAH(PANGKAT(Normalisasi!$J$12-Konvergensi!$B$130;2);PANGKAT(Normalisasi!$K$12-Konvergensi!$C$130;2);PANGKAT(Normalisasi!$L$12-Konvergensi!$D$130;2);PANGKAT(Normalisasi!$M$12-Konvergensi!$E$130;2);PANGKAT(Normalisasi!$N$12-Konvergensi!$F$130;2);PANGKAT(Normalisasi!$O$12-Konvergensi!$G$130;2);PANGKAT(Normalisasi!$P$12-Konvergensi!$H$130;2)))</f>
        <v/>
      </c>
      <c r="E151">
        <f>AKAR(JUMLAH(PANGKAT(Normalisasi!$J$12-Konvergensi!$B$131;2);PANGKAT(Normalisasi!$K$12-Konvergensi!$C$131;2);PANGKAT(Normalisasi!$L$12-Konvergensi!$D$131;2);PANGKAT(Normalisasi!$M$12-Konvergensi!$E$131;2);PANGKAT(Normalisasi!$N$12-Konvergensi!$F$131;2);PANGKAT(Normalisasi!$O$12-Konvergensi!$G$131;2);PANGKAT(Normalisasi!$P$12-Konvergensi!$H$131;2)))</f>
        <v/>
      </c>
      <c r="F151">
        <f>JIKA(C151&lt;=D151;=JIKA(C151&lt;=E151;0;2);=JIKA(D151&lt;=E151;1;2))</f>
        <v/>
      </c>
      <c r="G151">
        <f>JUMLAH(JIKA(F151=0;JUMLAH(PANGKAT(Normalisasi!$J$12-Konvergensi!$B$194;2);PANGKAT(Normalisasi!$K$12-Konvergensi!$C$194;2);PANGKAT(Normalisasi!$L$12-Konvergensi!$D$194;2);PANGKAT(Normalisasi!$M$12-Konvergensi!$E$194;2);PANGKAT(Normalisasi!$N$12-Konvergensi!$F$194;2);PANGKAT(Normalisasi!$O$12-Konvergensi!$G$194;2);PANGKAT(Normalisasi!$P$12-Konvergensi!$H$194;2));0);JIKA(F151=1;JUMLAH(PANGKAT(Normalisasi!$J$12-Konvergensi!$B$195;2);PANGKAT(Normalisasi!$K$12-Konvergensi!$C$195;2);PANGKAT(Normalisasi!$L$12-Konvergensi!$D$195;2);PANGKAT(Normalisasi!$M$12-Konvergensi!$E$195;2);PANGKAT(Normalisasi!$N$12-Konvergensi!$F$195;2);PANGKAT(Normalisasi!$O$12-Konvergensi!$G$195;2);PANGKAT(Normalisasi!$P$12-Konvergensi!$H$195;2));0);JIKA(F151=2;JUMLAH(PANGKAT(Normalisasi!$J$12-Konvergensi!$B$196;2);PANGKAT(Normalisasi!$K$12-Konvergensi!$C$196;2);PANGKAT(Normalisasi!$L$12-Konvergensi!$D$196;2);PANGKAT(Normalisasi!$M$12-Konvergensi!$E$196;2);PANGKAT(Normalisasi!$N$12-Konvergensi!$F$196;2);PANGKAT(Normalisasi!$O$12-Konvergensi!$G$196;2);PANGKAT(Normalisasi!$P$12-Konvergensi!$H$196;2));0))</f>
        <v/>
      </c>
      <c r="H151" t="n">
        <v>1</v>
      </c>
      <c r="I151" t="n">
        <v>7.96011614729661</v>
      </c>
    </row>
    <row r="152">
      <c r="A152">
        <f>Data_Awal!A13</f>
        <v/>
      </c>
      <c r="B152">
        <f>Data_Awal!B13</f>
        <v/>
      </c>
      <c r="C152">
        <f>AKAR(JUMLAH(PANGKAT(Normalisasi!$J$13-Konvergensi!$B$129;2);PANGKAT(Normalisasi!$K$13-Konvergensi!$C$129;2);PANGKAT(Normalisasi!$L$13-Konvergensi!$D$129;2);PANGKAT(Normalisasi!$M$13-Konvergensi!$E$129;2);PANGKAT(Normalisasi!$N$13-Konvergensi!$F$129;2);PANGKAT(Normalisasi!$O$13-Konvergensi!$G$129;2);PANGKAT(Normalisasi!$P$13-Konvergensi!$H$129;2)))</f>
        <v/>
      </c>
      <c r="D152">
        <f>AKAR(JUMLAH(PANGKAT(Normalisasi!$J$13-Konvergensi!$B$130;2);PANGKAT(Normalisasi!$K$13-Konvergensi!$C$130;2);PANGKAT(Normalisasi!$L$13-Konvergensi!$D$130;2);PANGKAT(Normalisasi!$M$13-Konvergensi!$E$130;2);PANGKAT(Normalisasi!$N$13-Konvergensi!$F$130;2);PANGKAT(Normalisasi!$O$13-Konvergensi!$G$130;2);PANGKAT(Normalisasi!$P$13-Konvergensi!$H$130;2)))</f>
        <v/>
      </c>
      <c r="E152">
        <f>AKAR(JUMLAH(PANGKAT(Normalisasi!$J$13-Konvergensi!$B$131;2);PANGKAT(Normalisasi!$K$13-Konvergensi!$C$131;2);PANGKAT(Normalisasi!$L$13-Konvergensi!$D$131;2);PANGKAT(Normalisasi!$M$13-Konvergensi!$E$131;2);PANGKAT(Normalisasi!$N$13-Konvergensi!$F$131;2);PANGKAT(Normalisasi!$O$13-Konvergensi!$G$131;2);PANGKAT(Normalisasi!$P$13-Konvergensi!$H$131;2)))</f>
        <v/>
      </c>
      <c r="F152">
        <f>JIKA(C152&lt;=D152;=JIKA(C152&lt;=E152;0;2);=JIKA(D152&lt;=E152;1;2))</f>
        <v/>
      </c>
      <c r="G152">
        <f>JUMLAH(JIKA(F152=0;JUMLAH(PANGKAT(Normalisasi!$J$13-Konvergensi!$B$194;2);PANGKAT(Normalisasi!$K$13-Konvergensi!$C$194;2);PANGKAT(Normalisasi!$L$13-Konvergensi!$D$194;2);PANGKAT(Normalisasi!$M$13-Konvergensi!$E$194;2);PANGKAT(Normalisasi!$N$13-Konvergensi!$F$194;2);PANGKAT(Normalisasi!$O$13-Konvergensi!$G$194;2);PANGKAT(Normalisasi!$P$13-Konvergensi!$H$194;2));0);JIKA(F152=1;JUMLAH(PANGKAT(Normalisasi!$J$13-Konvergensi!$B$195;2);PANGKAT(Normalisasi!$K$13-Konvergensi!$C$195;2);PANGKAT(Normalisasi!$L$13-Konvergensi!$D$195;2);PANGKAT(Normalisasi!$M$13-Konvergensi!$E$195;2);PANGKAT(Normalisasi!$N$13-Konvergensi!$F$195;2);PANGKAT(Normalisasi!$O$13-Konvergensi!$G$195;2);PANGKAT(Normalisasi!$P$13-Konvergensi!$H$195;2));0);JIKA(F152=2;JUMLAH(PANGKAT(Normalisasi!$J$13-Konvergensi!$B$196;2);PANGKAT(Normalisasi!$K$13-Konvergensi!$C$196;2);PANGKAT(Normalisasi!$L$13-Konvergensi!$D$196;2);PANGKAT(Normalisasi!$M$13-Konvergensi!$E$196;2);PANGKAT(Normalisasi!$N$13-Konvergensi!$F$196;2);PANGKAT(Normalisasi!$O$13-Konvergensi!$G$196;2);PANGKAT(Normalisasi!$P$13-Konvergensi!$H$196;2));0))</f>
        <v/>
      </c>
      <c r="H152" t="n">
        <v>1</v>
      </c>
      <c r="I152" t="n">
        <v>7.020823881391489</v>
      </c>
    </row>
    <row r="153">
      <c r="A153">
        <f>Data_Awal!A14</f>
        <v/>
      </c>
      <c r="B153">
        <f>Data_Awal!B14</f>
        <v/>
      </c>
      <c r="C153">
        <f>AKAR(JUMLAH(PANGKAT(Normalisasi!$J$14-Konvergensi!$B$129;2);PANGKAT(Normalisasi!$K$14-Konvergensi!$C$129;2);PANGKAT(Normalisasi!$L$14-Konvergensi!$D$129;2);PANGKAT(Normalisasi!$M$14-Konvergensi!$E$129;2);PANGKAT(Normalisasi!$N$14-Konvergensi!$F$129;2);PANGKAT(Normalisasi!$O$14-Konvergensi!$G$129;2);PANGKAT(Normalisasi!$P$14-Konvergensi!$H$129;2)))</f>
        <v/>
      </c>
      <c r="D153">
        <f>AKAR(JUMLAH(PANGKAT(Normalisasi!$J$14-Konvergensi!$B$130;2);PANGKAT(Normalisasi!$K$14-Konvergensi!$C$130;2);PANGKAT(Normalisasi!$L$14-Konvergensi!$D$130;2);PANGKAT(Normalisasi!$M$14-Konvergensi!$E$130;2);PANGKAT(Normalisasi!$N$14-Konvergensi!$F$130;2);PANGKAT(Normalisasi!$O$14-Konvergensi!$G$130;2);PANGKAT(Normalisasi!$P$14-Konvergensi!$H$130;2)))</f>
        <v/>
      </c>
      <c r="E153">
        <f>AKAR(JUMLAH(PANGKAT(Normalisasi!$J$14-Konvergensi!$B$131;2);PANGKAT(Normalisasi!$K$14-Konvergensi!$C$131;2);PANGKAT(Normalisasi!$L$14-Konvergensi!$D$131;2);PANGKAT(Normalisasi!$M$14-Konvergensi!$E$131;2);PANGKAT(Normalisasi!$N$14-Konvergensi!$F$131;2);PANGKAT(Normalisasi!$O$14-Konvergensi!$G$131;2);PANGKAT(Normalisasi!$P$14-Konvergensi!$H$131;2)))</f>
        <v/>
      </c>
      <c r="F153">
        <f>JIKA(C153&lt;=D153;=JIKA(C153&lt;=E153;0;2);=JIKA(D153&lt;=E153;1;2))</f>
        <v/>
      </c>
      <c r="G153">
        <f>JUMLAH(JIKA(F153=0;JUMLAH(PANGKAT(Normalisasi!$J$14-Konvergensi!$B$194;2);PANGKAT(Normalisasi!$K$14-Konvergensi!$C$194;2);PANGKAT(Normalisasi!$L$14-Konvergensi!$D$194;2);PANGKAT(Normalisasi!$M$14-Konvergensi!$E$194;2);PANGKAT(Normalisasi!$N$14-Konvergensi!$F$194;2);PANGKAT(Normalisasi!$O$14-Konvergensi!$G$194;2);PANGKAT(Normalisasi!$P$14-Konvergensi!$H$194;2));0);JIKA(F153=1;JUMLAH(PANGKAT(Normalisasi!$J$14-Konvergensi!$B$195;2);PANGKAT(Normalisasi!$K$14-Konvergensi!$C$195;2);PANGKAT(Normalisasi!$L$14-Konvergensi!$D$195;2);PANGKAT(Normalisasi!$M$14-Konvergensi!$E$195;2);PANGKAT(Normalisasi!$N$14-Konvergensi!$F$195;2);PANGKAT(Normalisasi!$O$14-Konvergensi!$G$195;2);PANGKAT(Normalisasi!$P$14-Konvergensi!$H$195;2));0);JIKA(F153=2;JUMLAH(PANGKAT(Normalisasi!$J$14-Konvergensi!$B$196;2);PANGKAT(Normalisasi!$K$14-Konvergensi!$C$196;2);PANGKAT(Normalisasi!$L$14-Konvergensi!$D$196;2);PANGKAT(Normalisasi!$M$14-Konvergensi!$E$196;2);PANGKAT(Normalisasi!$N$14-Konvergensi!$F$196;2);PANGKAT(Normalisasi!$O$14-Konvergensi!$G$196;2);PANGKAT(Normalisasi!$P$14-Konvergensi!$H$196;2));0))</f>
        <v/>
      </c>
      <c r="H153" t="n">
        <v>2</v>
      </c>
      <c r="I153" t="n">
        <v>4.165846048570554</v>
      </c>
    </row>
    <row r="154">
      <c r="A154">
        <f>Data_Awal!A15</f>
        <v/>
      </c>
      <c r="B154">
        <f>Data_Awal!B15</f>
        <v/>
      </c>
      <c r="C154">
        <f>AKAR(JUMLAH(PANGKAT(Normalisasi!$J$15-Konvergensi!$B$129;2);PANGKAT(Normalisasi!$K$15-Konvergensi!$C$129;2);PANGKAT(Normalisasi!$L$15-Konvergensi!$D$129;2);PANGKAT(Normalisasi!$M$15-Konvergensi!$E$129;2);PANGKAT(Normalisasi!$N$15-Konvergensi!$F$129;2);PANGKAT(Normalisasi!$O$15-Konvergensi!$G$129;2);PANGKAT(Normalisasi!$P$15-Konvergensi!$H$129;2)))</f>
        <v/>
      </c>
      <c r="D154">
        <f>AKAR(JUMLAH(PANGKAT(Normalisasi!$J$15-Konvergensi!$B$130;2);PANGKAT(Normalisasi!$K$15-Konvergensi!$C$130;2);PANGKAT(Normalisasi!$L$15-Konvergensi!$D$130;2);PANGKAT(Normalisasi!$M$15-Konvergensi!$E$130;2);PANGKAT(Normalisasi!$N$15-Konvergensi!$F$130;2);PANGKAT(Normalisasi!$O$15-Konvergensi!$G$130;2);PANGKAT(Normalisasi!$P$15-Konvergensi!$H$130;2)))</f>
        <v/>
      </c>
      <c r="E154">
        <f>AKAR(JUMLAH(PANGKAT(Normalisasi!$J$15-Konvergensi!$B$131;2);PANGKAT(Normalisasi!$K$15-Konvergensi!$C$131;2);PANGKAT(Normalisasi!$L$15-Konvergensi!$D$131;2);PANGKAT(Normalisasi!$M$15-Konvergensi!$E$131;2);PANGKAT(Normalisasi!$N$15-Konvergensi!$F$131;2);PANGKAT(Normalisasi!$O$15-Konvergensi!$G$131;2);PANGKAT(Normalisasi!$P$15-Konvergensi!$H$131;2)))</f>
        <v/>
      </c>
      <c r="F154">
        <f>JIKA(C154&lt;=D154;=JIKA(C154&lt;=E154;0;2);=JIKA(D154&lt;=E154;1;2))</f>
        <v/>
      </c>
      <c r="G154">
        <f>JUMLAH(JIKA(F154=0;JUMLAH(PANGKAT(Normalisasi!$J$15-Konvergensi!$B$194;2);PANGKAT(Normalisasi!$K$15-Konvergensi!$C$194;2);PANGKAT(Normalisasi!$L$15-Konvergensi!$D$194;2);PANGKAT(Normalisasi!$M$15-Konvergensi!$E$194;2);PANGKAT(Normalisasi!$N$15-Konvergensi!$F$194;2);PANGKAT(Normalisasi!$O$15-Konvergensi!$G$194;2);PANGKAT(Normalisasi!$P$15-Konvergensi!$H$194;2));0);JIKA(F154=1;JUMLAH(PANGKAT(Normalisasi!$J$15-Konvergensi!$B$195;2);PANGKAT(Normalisasi!$K$15-Konvergensi!$C$195;2);PANGKAT(Normalisasi!$L$15-Konvergensi!$D$195;2);PANGKAT(Normalisasi!$M$15-Konvergensi!$E$195;2);PANGKAT(Normalisasi!$N$15-Konvergensi!$F$195;2);PANGKAT(Normalisasi!$O$15-Konvergensi!$G$195;2);PANGKAT(Normalisasi!$P$15-Konvergensi!$H$195;2));0);JIKA(F154=2;JUMLAH(PANGKAT(Normalisasi!$J$15-Konvergensi!$B$196;2);PANGKAT(Normalisasi!$K$15-Konvergensi!$C$196;2);PANGKAT(Normalisasi!$L$15-Konvergensi!$D$196;2);PANGKAT(Normalisasi!$M$15-Konvergensi!$E$196;2);PANGKAT(Normalisasi!$N$15-Konvergensi!$F$196;2);PANGKAT(Normalisasi!$O$15-Konvergensi!$G$196;2);PANGKAT(Normalisasi!$P$15-Konvergensi!$H$196;2));0))</f>
        <v/>
      </c>
      <c r="H154" t="n">
        <v>0</v>
      </c>
      <c r="I154" t="n">
        <v>4.509763607606824</v>
      </c>
    </row>
    <row r="155">
      <c r="A155">
        <f>Data_Awal!A16</f>
        <v/>
      </c>
      <c r="B155">
        <f>Data_Awal!B16</f>
        <v/>
      </c>
      <c r="C155">
        <f>AKAR(JUMLAH(PANGKAT(Normalisasi!$J$16-Konvergensi!$B$129;2);PANGKAT(Normalisasi!$K$16-Konvergensi!$C$129;2);PANGKAT(Normalisasi!$L$16-Konvergensi!$D$129;2);PANGKAT(Normalisasi!$M$16-Konvergensi!$E$129;2);PANGKAT(Normalisasi!$N$16-Konvergensi!$F$129;2);PANGKAT(Normalisasi!$O$16-Konvergensi!$G$129;2);PANGKAT(Normalisasi!$P$16-Konvergensi!$H$129;2)))</f>
        <v/>
      </c>
      <c r="D155">
        <f>AKAR(JUMLAH(PANGKAT(Normalisasi!$J$16-Konvergensi!$B$130;2);PANGKAT(Normalisasi!$K$16-Konvergensi!$C$130;2);PANGKAT(Normalisasi!$L$16-Konvergensi!$D$130;2);PANGKAT(Normalisasi!$M$16-Konvergensi!$E$130;2);PANGKAT(Normalisasi!$N$16-Konvergensi!$F$130;2);PANGKAT(Normalisasi!$O$16-Konvergensi!$G$130;2);PANGKAT(Normalisasi!$P$16-Konvergensi!$H$130;2)))</f>
        <v/>
      </c>
      <c r="E155">
        <f>AKAR(JUMLAH(PANGKAT(Normalisasi!$J$16-Konvergensi!$B$131;2);PANGKAT(Normalisasi!$K$16-Konvergensi!$C$131;2);PANGKAT(Normalisasi!$L$16-Konvergensi!$D$131;2);PANGKAT(Normalisasi!$M$16-Konvergensi!$E$131;2);PANGKAT(Normalisasi!$N$16-Konvergensi!$F$131;2);PANGKAT(Normalisasi!$O$16-Konvergensi!$G$131;2);PANGKAT(Normalisasi!$P$16-Konvergensi!$H$131;2)))</f>
        <v/>
      </c>
      <c r="F155">
        <f>JIKA(C155&lt;=D155;=JIKA(C155&lt;=E155;0;2);=JIKA(D155&lt;=E155;1;2))</f>
        <v/>
      </c>
      <c r="G155">
        <f>JUMLAH(JIKA(F155=0;JUMLAH(PANGKAT(Normalisasi!$J$16-Konvergensi!$B$194;2);PANGKAT(Normalisasi!$K$16-Konvergensi!$C$194;2);PANGKAT(Normalisasi!$L$16-Konvergensi!$D$194;2);PANGKAT(Normalisasi!$M$16-Konvergensi!$E$194;2);PANGKAT(Normalisasi!$N$16-Konvergensi!$F$194;2);PANGKAT(Normalisasi!$O$16-Konvergensi!$G$194;2);PANGKAT(Normalisasi!$P$16-Konvergensi!$H$194;2));0);JIKA(F155=1;JUMLAH(PANGKAT(Normalisasi!$J$16-Konvergensi!$B$195;2);PANGKAT(Normalisasi!$K$16-Konvergensi!$C$195;2);PANGKAT(Normalisasi!$L$16-Konvergensi!$D$195;2);PANGKAT(Normalisasi!$M$16-Konvergensi!$E$195;2);PANGKAT(Normalisasi!$N$16-Konvergensi!$F$195;2);PANGKAT(Normalisasi!$O$16-Konvergensi!$G$195;2);PANGKAT(Normalisasi!$P$16-Konvergensi!$H$195;2));0);JIKA(F155=2;JUMLAH(PANGKAT(Normalisasi!$J$16-Konvergensi!$B$196;2);PANGKAT(Normalisasi!$K$16-Konvergensi!$C$196;2);PANGKAT(Normalisasi!$L$16-Konvergensi!$D$196;2);PANGKAT(Normalisasi!$M$16-Konvergensi!$E$196;2);PANGKAT(Normalisasi!$N$16-Konvergensi!$F$196;2);PANGKAT(Normalisasi!$O$16-Konvergensi!$G$196;2);PANGKAT(Normalisasi!$P$16-Konvergensi!$H$196;2));0))</f>
        <v/>
      </c>
      <c r="H155" t="n">
        <v>1</v>
      </c>
      <c r="I155" t="n">
        <v>7.769736498415128</v>
      </c>
    </row>
    <row r="156">
      <c r="A156">
        <f>Data_Awal!A17</f>
        <v/>
      </c>
      <c r="B156">
        <f>Data_Awal!B17</f>
        <v/>
      </c>
      <c r="C156">
        <f>AKAR(JUMLAH(PANGKAT(Normalisasi!$J$17-Konvergensi!$B$129;2);PANGKAT(Normalisasi!$K$17-Konvergensi!$C$129;2);PANGKAT(Normalisasi!$L$17-Konvergensi!$D$129;2);PANGKAT(Normalisasi!$M$17-Konvergensi!$E$129;2);PANGKAT(Normalisasi!$N$17-Konvergensi!$F$129;2);PANGKAT(Normalisasi!$O$17-Konvergensi!$G$129;2);PANGKAT(Normalisasi!$P$17-Konvergensi!$H$129;2)))</f>
        <v/>
      </c>
      <c r="D156">
        <f>AKAR(JUMLAH(PANGKAT(Normalisasi!$J$17-Konvergensi!$B$130;2);PANGKAT(Normalisasi!$K$17-Konvergensi!$C$130;2);PANGKAT(Normalisasi!$L$17-Konvergensi!$D$130;2);PANGKAT(Normalisasi!$M$17-Konvergensi!$E$130;2);PANGKAT(Normalisasi!$N$17-Konvergensi!$F$130;2);PANGKAT(Normalisasi!$O$17-Konvergensi!$G$130;2);PANGKAT(Normalisasi!$P$17-Konvergensi!$H$130;2)))</f>
        <v/>
      </c>
      <c r="E156">
        <f>AKAR(JUMLAH(PANGKAT(Normalisasi!$J$17-Konvergensi!$B$131;2);PANGKAT(Normalisasi!$K$17-Konvergensi!$C$131;2);PANGKAT(Normalisasi!$L$17-Konvergensi!$D$131;2);PANGKAT(Normalisasi!$M$17-Konvergensi!$E$131;2);PANGKAT(Normalisasi!$N$17-Konvergensi!$F$131;2);PANGKAT(Normalisasi!$O$17-Konvergensi!$G$131;2);PANGKAT(Normalisasi!$P$17-Konvergensi!$H$131;2)))</f>
        <v/>
      </c>
      <c r="F156">
        <f>JIKA(C156&lt;=D156;=JIKA(C156&lt;=E156;0;2);=JIKA(D156&lt;=E156;1;2))</f>
        <v/>
      </c>
      <c r="G156">
        <f>JUMLAH(JIKA(F156=0;JUMLAH(PANGKAT(Normalisasi!$J$17-Konvergensi!$B$194;2);PANGKAT(Normalisasi!$K$17-Konvergensi!$C$194;2);PANGKAT(Normalisasi!$L$17-Konvergensi!$D$194;2);PANGKAT(Normalisasi!$M$17-Konvergensi!$E$194;2);PANGKAT(Normalisasi!$N$17-Konvergensi!$F$194;2);PANGKAT(Normalisasi!$O$17-Konvergensi!$G$194;2);PANGKAT(Normalisasi!$P$17-Konvergensi!$H$194;2));0);JIKA(F156=1;JUMLAH(PANGKAT(Normalisasi!$J$17-Konvergensi!$B$195;2);PANGKAT(Normalisasi!$K$17-Konvergensi!$C$195;2);PANGKAT(Normalisasi!$L$17-Konvergensi!$D$195;2);PANGKAT(Normalisasi!$M$17-Konvergensi!$E$195;2);PANGKAT(Normalisasi!$N$17-Konvergensi!$F$195;2);PANGKAT(Normalisasi!$O$17-Konvergensi!$G$195;2);PANGKAT(Normalisasi!$P$17-Konvergensi!$H$195;2));0);JIKA(F156=2;JUMLAH(PANGKAT(Normalisasi!$J$17-Konvergensi!$B$196;2);PANGKAT(Normalisasi!$K$17-Konvergensi!$C$196;2);PANGKAT(Normalisasi!$L$17-Konvergensi!$D$196;2);PANGKAT(Normalisasi!$M$17-Konvergensi!$E$196;2);PANGKAT(Normalisasi!$N$17-Konvergensi!$F$196;2);PANGKAT(Normalisasi!$O$17-Konvergensi!$G$196;2);PANGKAT(Normalisasi!$P$17-Konvergensi!$H$196;2));0))</f>
        <v/>
      </c>
      <c r="H156" t="n">
        <v>1</v>
      </c>
      <c r="I156" t="n">
        <v>3.516929456132632</v>
      </c>
    </row>
    <row r="157">
      <c r="A157">
        <f>Data_Awal!A18</f>
        <v/>
      </c>
      <c r="B157">
        <f>Data_Awal!B18</f>
        <v/>
      </c>
      <c r="C157">
        <f>AKAR(JUMLAH(PANGKAT(Normalisasi!$J$18-Konvergensi!$B$129;2);PANGKAT(Normalisasi!$K$18-Konvergensi!$C$129;2);PANGKAT(Normalisasi!$L$18-Konvergensi!$D$129;2);PANGKAT(Normalisasi!$M$18-Konvergensi!$E$129;2);PANGKAT(Normalisasi!$N$18-Konvergensi!$F$129;2);PANGKAT(Normalisasi!$O$18-Konvergensi!$G$129;2);PANGKAT(Normalisasi!$P$18-Konvergensi!$H$129;2)))</f>
        <v/>
      </c>
      <c r="D157">
        <f>AKAR(JUMLAH(PANGKAT(Normalisasi!$J$18-Konvergensi!$B$130;2);PANGKAT(Normalisasi!$K$18-Konvergensi!$C$130;2);PANGKAT(Normalisasi!$L$18-Konvergensi!$D$130;2);PANGKAT(Normalisasi!$M$18-Konvergensi!$E$130;2);PANGKAT(Normalisasi!$N$18-Konvergensi!$F$130;2);PANGKAT(Normalisasi!$O$18-Konvergensi!$G$130;2);PANGKAT(Normalisasi!$P$18-Konvergensi!$H$130;2)))</f>
        <v/>
      </c>
      <c r="E157">
        <f>AKAR(JUMLAH(PANGKAT(Normalisasi!$J$18-Konvergensi!$B$131;2);PANGKAT(Normalisasi!$K$18-Konvergensi!$C$131;2);PANGKAT(Normalisasi!$L$18-Konvergensi!$D$131;2);PANGKAT(Normalisasi!$M$18-Konvergensi!$E$131;2);PANGKAT(Normalisasi!$N$18-Konvergensi!$F$131;2);PANGKAT(Normalisasi!$O$18-Konvergensi!$G$131;2);PANGKAT(Normalisasi!$P$18-Konvergensi!$H$131;2)))</f>
        <v/>
      </c>
      <c r="F157">
        <f>JIKA(C157&lt;=D157;=JIKA(C157&lt;=E157;0;2);=JIKA(D157&lt;=E157;1;2))</f>
        <v/>
      </c>
      <c r="G157">
        <f>JUMLAH(JIKA(F157=0;JUMLAH(PANGKAT(Normalisasi!$J$18-Konvergensi!$B$194;2);PANGKAT(Normalisasi!$K$18-Konvergensi!$C$194;2);PANGKAT(Normalisasi!$L$18-Konvergensi!$D$194;2);PANGKAT(Normalisasi!$M$18-Konvergensi!$E$194;2);PANGKAT(Normalisasi!$N$18-Konvergensi!$F$194;2);PANGKAT(Normalisasi!$O$18-Konvergensi!$G$194;2);PANGKAT(Normalisasi!$P$18-Konvergensi!$H$194;2));0);JIKA(F157=1;JUMLAH(PANGKAT(Normalisasi!$J$18-Konvergensi!$B$195;2);PANGKAT(Normalisasi!$K$18-Konvergensi!$C$195;2);PANGKAT(Normalisasi!$L$18-Konvergensi!$D$195;2);PANGKAT(Normalisasi!$M$18-Konvergensi!$E$195;2);PANGKAT(Normalisasi!$N$18-Konvergensi!$F$195;2);PANGKAT(Normalisasi!$O$18-Konvergensi!$G$195;2);PANGKAT(Normalisasi!$P$18-Konvergensi!$H$195;2));0);JIKA(F157=2;JUMLAH(PANGKAT(Normalisasi!$J$18-Konvergensi!$B$196;2);PANGKAT(Normalisasi!$K$18-Konvergensi!$C$196;2);PANGKAT(Normalisasi!$L$18-Konvergensi!$D$196;2);PANGKAT(Normalisasi!$M$18-Konvergensi!$E$196;2);PANGKAT(Normalisasi!$N$18-Konvergensi!$F$196;2);PANGKAT(Normalisasi!$O$18-Konvergensi!$G$196;2);PANGKAT(Normalisasi!$P$18-Konvergensi!$H$196;2));0))</f>
        <v/>
      </c>
      <c r="H157" t="n">
        <v>0</v>
      </c>
      <c r="I157" t="n">
        <v>6.400382746594105</v>
      </c>
    </row>
    <row r="158">
      <c r="A158">
        <f>Data_Awal!A19</f>
        <v/>
      </c>
      <c r="B158">
        <f>Data_Awal!B19</f>
        <v/>
      </c>
      <c r="C158">
        <f>AKAR(JUMLAH(PANGKAT(Normalisasi!$J$19-Konvergensi!$B$129;2);PANGKAT(Normalisasi!$K$19-Konvergensi!$C$129;2);PANGKAT(Normalisasi!$L$19-Konvergensi!$D$129;2);PANGKAT(Normalisasi!$M$19-Konvergensi!$E$129;2);PANGKAT(Normalisasi!$N$19-Konvergensi!$F$129;2);PANGKAT(Normalisasi!$O$19-Konvergensi!$G$129;2);PANGKAT(Normalisasi!$P$19-Konvergensi!$H$129;2)))</f>
        <v/>
      </c>
      <c r="D158">
        <f>AKAR(JUMLAH(PANGKAT(Normalisasi!$J$19-Konvergensi!$B$130;2);PANGKAT(Normalisasi!$K$19-Konvergensi!$C$130;2);PANGKAT(Normalisasi!$L$19-Konvergensi!$D$130;2);PANGKAT(Normalisasi!$M$19-Konvergensi!$E$130;2);PANGKAT(Normalisasi!$N$19-Konvergensi!$F$130;2);PANGKAT(Normalisasi!$O$19-Konvergensi!$G$130;2);PANGKAT(Normalisasi!$P$19-Konvergensi!$H$130;2)))</f>
        <v/>
      </c>
      <c r="E158">
        <f>AKAR(JUMLAH(PANGKAT(Normalisasi!$J$19-Konvergensi!$B$131;2);PANGKAT(Normalisasi!$K$19-Konvergensi!$C$131;2);PANGKAT(Normalisasi!$L$19-Konvergensi!$D$131;2);PANGKAT(Normalisasi!$M$19-Konvergensi!$E$131;2);PANGKAT(Normalisasi!$N$19-Konvergensi!$F$131;2);PANGKAT(Normalisasi!$O$19-Konvergensi!$G$131;2);PANGKAT(Normalisasi!$P$19-Konvergensi!$H$131;2)))</f>
        <v/>
      </c>
      <c r="F158">
        <f>JIKA(C158&lt;=D158;=JIKA(C158&lt;=E158;0;2);=JIKA(D158&lt;=E158;1;2))</f>
        <v/>
      </c>
      <c r="G158">
        <f>JUMLAH(JIKA(F158=0;JUMLAH(PANGKAT(Normalisasi!$J$19-Konvergensi!$B$194;2);PANGKAT(Normalisasi!$K$19-Konvergensi!$C$194;2);PANGKAT(Normalisasi!$L$19-Konvergensi!$D$194;2);PANGKAT(Normalisasi!$M$19-Konvergensi!$E$194;2);PANGKAT(Normalisasi!$N$19-Konvergensi!$F$194;2);PANGKAT(Normalisasi!$O$19-Konvergensi!$G$194;2);PANGKAT(Normalisasi!$P$19-Konvergensi!$H$194;2));0);JIKA(F158=1;JUMLAH(PANGKAT(Normalisasi!$J$19-Konvergensi!$B$195;2);PANGKAT(Normalisasi!$K$19-Konvergensi!$C$195;2);PANGKAT(Normalisasi!$L$19-Konvergensi!$D$195;2);PANGKAT(Normalisasi!$M$19-Konvergensi!$E$195;2);PANGKAT(Normalisasi!$N$19-Konvergensi!$F$195;2);PANGKAT(Normalisasi!$O$19-Konvergensi!$G$195;2);PANGKAT(Normalisasi!$P$19-Konvergensi!$H$195;2));0);JIKA(F158=2;JUMLAH(PANGKAT(Normalisasi!$J$19-Konvergensi!$B$196;2);PANGKAT(Normalisasi!$K$19-Konvergensi!$C$196;2);PANGKAT(Normalisasi!$L$19-Konvergensi!$D$196;2);PANGKAT(Normalisasi!$M$19-Konvergensi!$E$196;2);PANGKAT(Normalisasi!$N$19-Konvergensi!$F$196;2);PANGKAT(Normalisasi!$O$19-Konvergensi!$G$196;2);PANGKAT(Normalisasi!$P$19-Konvergensi!$H$196;2));0))</f>
        <v/>
      </c>
      <c r="H158" t="n">
        <v>0</v>
      </c>
      <c r="I158" t="n">
        <v>2.801227406947893</v>
      </c>
    </row>
    <row r="159">
      <c r="A159">
        <f>Data_Awal!A20</f>
        <v/>
      </c>
      <c r="B159">
        <f>Data_Awal!B20</f>
        <v/>
      </c>
      <c r="C159">
        <f>AKAR(JUMLAH(PANGKAT(Normalisasi!$J$20-Konvergensi!$B$129;2);PANGKAT(Normalisasi!$K$20-Konvergensi!$C$129;2);PANGKAT(Normalisasi!$L$20-Konvergensi!$D$129;2);PANGKAT(Normalisasi!$M$20-Konvergensi!$E$129;2);PANGKAT(Normalisasi!$N$20-Konvergensi!$F$129;2);PANGKAT(Normalisasi!$O$20-Konvergensi!$G$129;2);PANGKAT(Normalisasi!$P$20-Konvergensi!$H$129;2)))</f>
        <v/>
      </c>
      <c r="D159">
        <f>AKAR(JUMLAH(PANGKAT(Normalisasi!$J$20-Konvergensi!$B$130;2);PANGKAT(Normalisasi!$K$20-Konvergensi!$C$130;2);PANGKAT(Normalisasi!$L$20-Konvergensi!$D$130;2);PANGKAT(Normalisasi!$M$20-Konvergensi!$E$130;2);PANGKAT(Normalisasi!$N$20-Konvergensi!$F$130;2);PANGKAT(Normalisasi!$O$20-Konvergensi!$G$130;2);PANGKAT(Normalisasi!$P$20-Konvergensi!$H$130;2)))</f>
        <v/>
      </c>
      <c r="E159">
        <f>AKAR(JUMLAH(PANGKAT(Normalisasi!$J$20-Konvergensi!$B$131;2);PANGKAT(Normalisasi!$K$20-Konvergensi!$C$131;2);PANGKAT(Normalisasi!$L$20-Konvergensi!$D$131;2);PANGKAT(Normalisasi!$M$20-Konvergensi!$E$131;2);PANGKAT(Normalisasi!$N$20-Konvergensi!$F$131;2);PANGKAT(Normalisasi!$O$20-Konvergensi!$G$131;2);PANGKAT(Normalisasi!$P$20-Konvergensi!$H$131;2)))</f>
        <v/>
      </c>
      <c r="F159">
        <f>JIKA(C159&lt;=D159;=JIKA(C159&lt;=E159;0;2);=JIKA(D159&lt;=E159;1;2))</f>
        <v/>
      </c>
      <c r="G159">
        <f>JUMLAH(JIKA(F159=0;JUMLAH(PANGKAT(Normalisasi!$J$20-Konvergensi!$B$194;2);PANGKAT(Normalisasi!$K$20-Konvergensi!$C$194;2);PANGKAT(Normalisasi!$L$20-Konvergensi!$D$194;2);PANGKAT(Normalisasi!$M$20-Konvergensi!$E$194;2);PANGKAT(Normalisasi!$N$20-Konvergensi!$F$194;2);PANGKAT(Normalisasi!$O$20-Konvergensi!$G$194;2);PANGKAT(Normalisasi!$P$20-Konvergensi!$H$194;2));0);JIKA(F159=1;JUMLAH(PANGKAT(Normalisasi!$J$20-Konvergensi!$B$195;2);PANGKAT(Normalisasi!$K$20-Konvergensi!$C$195;2);PANGKAT(Normalisasi!$L$20-Konvergensi!$D$195;2);PANGKAT(Normalisasi!$M$20-Konvergensi!$E$195;2);PANGKAT(Normalisasi!$N$20-Konvergensi!$F$195;2);PANGKAT(Normalisasi!$O$20-Konvergensi!$G$195;2);PANGKAT(Normalisasi!$P$20-Konvergensi!$H$195;2));0);JIKA(F159=2;JUMLAH(PANGKAT(Normalisasi!$J$20-Konvergensi!$B$196;2);PANGKAT(Normalisasi!$K$20-Konvergensi!$C$196;2);PANGKAT(Normalisasi!$L$20-Konvergensi!$D$196;2);PANGKAT(Normalisasi!$M$20-Konvergensi!$E$196;2);PANGKAT(Normalisasi!$N$20-Konvergensi!$F$196;2);PANGKAT(Normalisasi!$O$20-Konvergensi!$G$196;2);PANGKAT(Normalisasi!$P$20-Konvergensi!$H$196;2));0))</f>
        <v/>
      </c>
      <c r="H159" t="n">
        <v>0</v>
      </c>
      <c r="I159" t="n">
        <v>6.116883123427062</v>
      </c>
    </row>
    <row r="160">
      <c r="A160">
        <f>Data_Awal!A21</f>
        <v/>
      </c>
      <c r="B160">
        <f>Data_Awal!B21</f>
        <v/>
      </c>
      <c r="C160">
        <f>AKAR(JUMLAH(PANGKAT(Normalisasi!$J$21-Konvergensi!$B$129;2);PANGKAT(Normalisasi!$K$21-Konvergensi!$C$129;2);PANGKAT(Normalisasi!$L$21-Konvergensi!$D$129;2);PANGKAT(Normalisasi!$M$21-Konvergensi!$E$129;2);PANGKAT(Normalisasi!$N$21-Konvergensi!$F$129;2);PANGKAT(Normalisasi!$O$21-Konvergensi!$G$129;2);PANGKAT(Normalisasi!$P$21-Konvergensi!$H$129;2)))</f>
        <v/>
      </c>
      <c r="D160">
        <f>AKAR(JUMLAH(PANGKAT(Normalisasi!$J$21-Konvergensi!$B$130;2);PANGKAT(Normalisasi!$K$21-Konvergensi!$C$130;2);PANGKAT(Normalisasi!$L$21-Konvergensi!$D$130;2);PANGKAT(Normalisasi!$M$21-Konvergensi!$E$130;2);PANGKAT(Normalisasi!$N$21-Konvergensi!$F$130;2);PANGKAT(Normalisasi!$O$21-Konvergensi!$G$130;2);PANGKAT(Normalisasi!$P$21-Konvergensi!$H$130;2)))</f>
        <v/>
      </c>
      <c r="E160">
        <f>AKAR(JUMLAH(PANGKAT(Normalisasi!$J$21-Konvergensi!$B$131;2);PANGKAT(Normalisasi!$K$21-Konvergensi!$C$131;2);PANGKAT(Normalisasi!$L$21-Konvergensi!$D$131;2);PANGKAT(Normalisasi!$M$21-Konvergensi!$E$131;2);PANGKAT(Normalisasi!$N$21-Konvergensi!$F$131;2);PANGKAT(Normalisasi!$O$21-Konvergensi!$G$131;2);PANGKAT(Normalisasi!$P$21-Konvergensi!$H$131;2)))</f>
        <v/>
      </c>
      <c r="F160">
        <f>JIKA(C160&lt;=D160;=JIKA(C160&lt;=E160;0;2);=JIKA(D160&lt;=E160;1;2))</f>
        <v/>
      </c>
      <c r="G160">
        <f>JUMLAH(JIKA(F160=0;JUMLAH(PANGKAT(Normalisasi!$J$21-Konvergensi!$B$194;2);PANGKAT(Normalisasi!$K$21-Konvergensi!$C$194;2);PANGKAT(Normalisasi!$L$21-Konvergensi!$D$194;2);PANGKAT(Normalisasi!$M$21-Konvergensi!$E$194;2);PANGKAT(Normalisasi!$N$21-Konvergensi!$F$194;2);PANGKAT(Normalisasi!$O$21-Konvergensi!$G$194;2);PANGKAT(Normalisasi!$P$21-Konvergensi!$H$194;2));0);JIKA(F160=1;JUMLAH(PANGKAT(Normalisasi!$J$21-Konvergensi!$B$195;2);PANGKAT(Normalisasi!$K$21-Konvergensi!$C$195;2);PANGKAT(Normalisasi!$L$21-Konvergensi!$D$195;2);PANGKAT(Normalisasi!$M$21-Konvergensi!$E$195;2);PANGKAT(Normalisasi!$N$21-Konvergensi!$F$195;2);PANGKAT(Normalisasi!$O$21-Konvergensi!$G$195;2);PANGKAT(Normalisasi!$P$21-Konvergensi!$H$195;2));0);JIKA(F160=2;JUMLAH(PANGKAT(Normalisasi!$J$21-Konvergensi!$B$196;2);PANGKAT(Normalisasi!$K$21-Konvergensi!$C$196;2);PANGKAT(Normalisasi!$L$21-Konvergensi!$D$196;2);PANGKAT(Normalisasi!$M$21-Konvergensi!$E$196;2);PANGKAT(Normalisasi!$N$21-Konvergensi!$F$196;2);PANGKAT(Normalisasi!$O$21-Konvergensi!$G$196;2);PANGKAT(Normalisasi!$P$21-Konvergensi!$H$196;2));0))</f>
        <v/>
      </c>
      <c r="H160" t="n">
        <v>2</v>
      </c>
      <c r="I160" t="n">
        <v>4.461717555997476</v>
      </c>
    </row>
    <row r="161">
      <c r="A161">
        <f>Data_Awal!A22</f>
        <v/>
      </c>
      <c r="B161">
        <f>Data_Awal!B22</f>
        <v/>
      </c>
      <c r="C161">
        <f>AKAR(JUMLAH(PANGKAT(Normalisasi!$J$22-Konvergensi!$B$129;2);PANGKAT(Normalisasi!$K$22-Konvergensi!$C$129;2);PANGKAT(Normalisasi!$L$22-Konvergensi!$D$129;2);PANGKAT(Normalisasi!$M$22-Konvergensi!$E$129;2);PANGKAT(Normalisasi!$N$22-Konvergensi!$F$129;2);PANGKAT(Normalisasi!$O$22-Konvergensi!$G$129;2);PANGKAT(Normalisasi!$P$22-Konvergensi!$H$129;2)))</f>
        <v/>
      </c>
      <c r="D161">
        <f>AKAR(JUMLAH(PANGKAT(Normalisasi!$J$22-Konvergensi!$B$130;2);PANGKAT(Normalisasi!$K$22-Konvergensi!$C$130;2);PANGKAT(Normalisasi!$L$22-Konvergensi!$D$130;2);PANGKAT(Normalisasi!$M$22-Konvergensi!$E$130;2);PANGKAT(Normalisasi!$N$22-Konvergensi!$F$130;2);PANGKAT(Normalisasi!$O$22-Konvergensi!$G$130;2);PANGKAT(Normalisasi!$P$22-Konvergensi!$H$130;2)))</f>
        <v/>
      </c>
      <c r="E161">
        <f>AKAR(JUMLAH(PANGKAT(Normalisasi!$J$22-Konvergensi!$B$131;2);PANGKAT(Normalisasi!$K$22-Konvergensi!$C$131;2);PANGKAT(Normalisasi!$L$22-Konvergensi!$D$131;2);PANGKAT(Normalisasi!$M$22-Konvergensi!$E$131;2);PANGKAT(Normalisasi!$N$22-Konvergensi!$F$131;2);PANGKAT(Normalisasi!$O$22-Konvergensi!$G$131;2);PANGKAT(Normalisasi!$P$22-Konvergensi!$H$131;2)))</f>
        <v/>
      </c>
      <c r="F161">
        <f>JIKA(C161&lt;=D161;=JIKA(C161&lt;=E161;0;2);=JIKA(D161&lt;=E161;1;2))</f>
        <v/>
      </c>
      <c r="G161">
        <f>JUMLAH(JIKA(F161=0;JUMLAH(PANGKAT(Normalisasi!$J$22-Konvergensi!$B$194;2);PANGKAT(Normalisasi!$K$22-Konvergensi!$C$194;2);PANGKAT(Normalisasi!$L$22-Konvergensi!$D$194;2);PANGKAT(Normalisasi!$M$22-Konvergensi!$E$194;2);PANGKAT(Normalisasi!$N$22-Konvergensi!$F$194;2);PANGKAT(Normalisasi!$O$22-Konvergensi!$G$194;2);PANGKAT(Normalisasi!$P$22-Konvergensi!$H$194;2));0);JIKA(F161=1;JUMLAH(PANGKAT(Normalisasi!$J$22-Konvergensi!$B$195;2);PANGKAT(Normalisasi!$K$22-Konvergensi!$C$195;2);PANGKAT(Normalisasi!$L$22-Konvergensi!$D$195;2);PANGKAT(Normalisasi!$M$22-Konvergensi!$E$195;2);PANGKAT(Normalisasi!$N$22-Konvergensi!$F$195;2);PANGKAT(Normalisasi!$O$22-Konvergensi!$G$195;2);PANGKAT(Normalisasi!$P$22-Konvergensi!$H$195;2));0);JIKA(F161=2;JUMLAH(PANGKAT(Normalisasi!$J$22-Konvergensi!$B$196;2);PANGKAT(Normalisasi!$K$22-Konvergensi!$C$196;2);PANGKAT(Normalisasi!$L$22-Konvergensi!$D$196;2);PANGKAT(Normalisasi!$M$22-Konvergensi!$E$196;2);PANGKAT(Normalisasi!$N$22-Konvergensi!$F$196;2);PANGKAT(Normalisasi!$O$22-Konvergensi!$G$196;2);PANGKAT(Normalisasi!$P$22-Konvergensi!$H$196;2));0))</f>
        <v/>
      </c>
      <c r="H161" t="n">
        <v>0</v>
      </c>
      <c r="I161" t="n">
        <v>7.418618104427763</v>
      </c>
    </row>
    <row r="162">
      <c r="A162">
        <f>Data_Awal!A23</f>
        <v/>
      </c>
      <c r="B162">
        <f>Data_Awal!B23</f>
        <v/>
      </c>
      <c r="C162">
        <f>AKAR(JUMLAH(PANGKAT(Normalisasi!$J$23-Konvergensi!$B$129;2);PANGKAT(Normalisasi!$K$23-Konvergensi!$C$129;2);PANGKAT(Normalisasi!$L$23-Konvergensi!$D$129;2);PANGKAT(Normalisasi!$M$23-Konvergensi!$E$129;2);PANGKAT(Normalisasi!$N$23-Konvergensi!$F$129;2);PANGKAT(Normalisasi!$O$23-Konvergensi!$G$129;2);PANGKAT(Normalisasi!$P$23-Konvergensi!$H$129;2)))</f>
        <v/>
      </c>
      <c r="D162">
        <f>AKAR(JUMLAH(PANGKAT(Normalisasi!$J$23-Konvergensi!$B$130;2);PANGKAT(Normalisasi!$K$23-Konvergensi!$C$130;2);PANGKAT(Normalisasi!$L$23-Konvergensi!$D$130;2);PANGKAT(Normalisasi!$M$23-Konvergensi!$E$130;2);PANGKAT(Normalisasi!$N$23-Konvergensi!$F$130;2);PANGKAT(Normalisasi!$O$23-Konvergensi!$G$130;2);PANGKAT(Normalisasi!$P$23-Konvergensi!$H$130;2)))</f>
        <v/>
      </c>
      <c r="E162">
        <f>AKAR(JUMLAH(PANGKAT(Normalisasi!$J$23-Konvergensi!$B$131;2);PANGKAT(Normalisasi!$K$23-Konvergensi!$C$131;2);PANGKAT(Normalisasi!$L$23-Konvergensi!$D$131;2);PANGKAT(Normalisasi!$M$23-Konvergensi!$E$131;2);PANGKAT(Normalisasi!$N$23-Konvergensi!$F$131;2);PANGKAT(Normalisasi!$O$23-Konvergensi!$G$131;2);PANGKAT(Normalisasi!$P$23-Konvergensi!$H$131;2)))</f>
        <v/>
      </c>
      <c r="F162">
        <f>JIKA(C162&lt;=D162;=JIKA(C162&lt;=E162;0;2);=JIKA(D162&lt;=E162;1;2))</f>
        <v/>
      </c>
      <c r="G162">
        <f>JUMLAH(JIKA(F162=0;JUMLAH(PANGKAT(Normalisasi!$J$23-Konvergensi!$B$194;2);PANGKAT(Normalisasi!$K$23-Konvergensi!$C$194;2);PANGKAT(Normalisasi!$L$23-Konvergensi!$D$194;2);PANGKAT(Normalisasi!$M$23-Konvergensi!$E$194;2);PANGKAT(Normalisasi!$N$23-Konvergensi!$F$194;2);PANGKAT(Normalisasi!$O$23-Konvergensi!$G$194;2);PANGKAT(Normalisasi!$P$23-Konvergensi!$H$194;2));0);JIKA(F162=1;JUMLAH(PANGKAT(Normalisasi!$J$23-Konvergensi!$B$195;2);PANGKAT(Normalisasi!$K$23-Konvergensi!$C$195;2);PANGKAT(Normalisasi!$L$23-Konvergensi!$D$195;2);PANGKAT(Normalisasi!$M$23-Konvergensi!$E$195;2);PANGKAT(Normalisasi!$N$23-Konvergensi!$F$195;2);PANGKAT(Normalisasi!$O$23-Konvergensi!$G$195;2);PANGKAT(Normalisasi!$P$23-Konvergensi!$H$195;2));0);JIKA(F162=2;JUMLAH(PANGKAT(Normalisasi!$J$23-Konvergensi!$B$196;2);PANGKAT(Normalisasi!$K$23-Konvergensi!$C$196;2);PANGKAT(Normalisasi!$L$23-Konvergensi!$D$196;2);PANGKAT(Normalisasi!$M$23-Konvergensi!$E$196;2);PANGKAT(Normalisasi!$N$23-Konvergensi!$F$196;2);PANGKAT(Normalisasi!$O$23-Konvergensi!$G$196;2);PANGKAT(Normalisasi!$P$23-Konvergensi!$H$196;2));0))</f>
        <v/>
      </c>
      <c r="H162" t="n">
        <v>1</v>
      </c>
      <c r="I162" t="n">
        <v>6.268119608809372</v>
      </c>
    </row>
    <row r="163">
      <c r="A163">
        <f>Data_Awal!A24</f>
        <v/>
      </c>
      <c r="B163">
        <f>Data_Awal!B24</f>
        <v/>
      </c>
      <c r="C163">
        <f>AKAR(JUMLAH(PANGKAT(Normalisasi!$J$24-Konvergensi!$B$129;2);PANGKAT(Normalisasi!$K$24-Konvergensi!$C$129;2);PANGKAT(Normalisasi!$L$24-Konvergensi!$D$129;2);PANGKAT(Normalisasi!$M$24-Konvergensi!$E$129;2);PANGKAT(Normalisasi!$N$24-Konvergensi!$F$129;2);PANGKAT(Normalisasi!$O$24-Konvergensi!$G$129;2);PANGKAT(Normalisasi!$P$24-Konvergensi!$H$129;2)))</f>
        <v/>
      </c>
      <c r="D163">
        <f>AKAR(JUMLAH(PANGKAT(Normalisasi!$J$24-Konvergensi!$B$130;2);PANGKAT(Normalisasi!$K$24-Konvergensi!$C$130;2);PANGKAT(Normalisasi!$L$24-Konvergensi!$D$130;2);PANGKAT(Normalisasi!$M$24-Konvergensi!$E$130;2);PANGKAT(Normalisasi!$N$24-Konvergensi!$F$130;2);PANGKAT(Normalisasi!$O$24-Konvergensi!$G$130;2);PANGKAT(Normalisasi!$P$24-Konvergensi!$H$130;2)))</f>
        <v/>
      </c>
      <c r="E163">
        <f>AKAR(JUMLAH(PANGKAT(Normalisasi!$J$24-Konvergensi!$B$131;2);PANGKAT(Normalisasi!$K$24-Konvergensi!$C$131;2);PANGKAT(Normalisasi!$L$24-Konvergensi!$D$131;2);PANGKAT(Normalisasi!$M$24-Konvergensi!$E$131;2);PANGKAT(Normalisasi!$N$24-Konvergensi!$F$131;2);PANGKAT(Normalisasi!$O$24-Konvergensi!$G$131;2);PANGKAT(Normalisasi!$P$24-Konvergensi!$H$131;2)))</f>
        <v/>
      </c>
      <c r="F163">
        <f>JIKA(C163&lt;=D163;=JIKA(C163&lt;=E163;0;2);=JIKA(D163&lt;=E163;1;2))</f>
        <v/>
      </c>
      <c r="G163">
        <f>JUMLAH(JIKA(F163=0;JUMLAH(PANGKAT(Normalisasi!$J$24-Konvergensi!$B$194;2);PANGKAT(Normalisasi!$K$24-Konvergensi!$C$194;2);PANGKAT(Normalisasi!$L$24-Konvergensi!$D$194;2);PANGKAT(Normalisasi!$M$24-Konvergensi!$E$194;2);PANGKAT(Normalisasi!$N$24-Konvergensi!$F$194;2);PANGKAT(Normalisasi!$O$24-Konvergensi!$G$194;2);PANGKAT(Normalisasi!$P$24-Konvergensi!$H$194;2));0);JIKA(F163=1;JUMLAH(PANGKAT(Normalisasi!$J$24-Konvergensi!$B$195;2);PANGKAT(Normalisasi!$K$24-Konvergensi!$C$195;2);PANGKAT(Normalisasi!$L$24-Konvergensi!$D$195;2);PANGKAT(Normalisasi!$M$24-Konvergensi!$E$195;2);PANGKAT(Normalisasi!$N$24-Konvergensi!$F$195;2);PANGKAT(Normalisasi!$O$24-Konvergensi!$G$195;2);PANGKAT(Normalisasi!$P$24-Konvergensi!$H$195;2));0);JIKA(F163=2;JUMLAH(PANGKAT(Normalisasi!$J$24-Konvergensi!$B$196;2);PANGKAT(Normalisasi!$K$24-Konvergensi!$C$196;2);PANGKAT(Normalisasi!$L$24-Konvergensi!$D$196;2);PANGKAT(Normalisasi!$M$24-Konvergensi!$E$196;2);PANGKAT(Normalisasi!$N$24-Konvergensi!$F$196;2);PANGKAT(Normalisasi!$O$24-Konvergensi!$G$196;2);PANGKAT(Normalisasi!$P$24-Konvergensi!$H$196;2));0))</f>
        <v/>
      </c>
      <c r="H163" t="n">
        <v>2</v>
      </c>
      <c r="I163" t="n">
        <v>3.123916638911986</v>
      </c>
    </row>
    <row r="164">
      <c r="A164">
        <f>Data_Awal!A25</f>
        <v/>
      </c>
      <c r="B164">
        <f>Data_Awal!B25</f>
        <v/>
      </c>
      <c r="C164">
        <f>AKAR(JUMLAH(PANGKAT(Normalisasi!$J$25-Konvergensi!$B$129;2);PANGKAT(Normalisasi!$K$25-Konvergensi!$C$129;2);PANGKAT(Normalisasi!$L$25-Konvergensi!$D$129;2);PANGKAT(Normalisasi!$M$25-Konvergensi!$E$129;2);PANGKAT(Normalisasi!$N$25-Konvergensi!$F$129;2);PANGKAT(Normalisasi!$O$25-Konvergensi!$G$129;2);PANGKAT(Normalisasi!$P$25-Konvergensi!$H$129;2)))</f>
        <v/>
      </c>
      <c r="D164">
        <f>AKAR(JUMLAH(PANGKAT(Normalisasi!$J$25-Konvergensi!$B$130;2);PANGKAT(Normalisasi!$K$25-Konvergensi!$C$130;2);PANGKAT(Normalisasi!$L$25-Konvergensi!$D$130;2);PANGKAT(Normalisasi!$M$25-Konvergensi!$E$130;2);PANGKAT(Normalisasi!$N$25-Konvergensi!$F$130;2);PANGKAT(Normalisasi!$O$25-Konvergensi!$G$130;2);PANGKAT(Normalisasi!$P$25-Konvergensi!$H$130;2)))</f>
        <v/>
      </c>
      <c r="E164">
        <f>AKAR(JUMLAH(PANGKAT(Normalisasi!$J$25-Konvergensi!$B$131;2);PANGKAT(Normalisasi!$K$25-Konvergensi!$C$131;2);PANGKAT(Normalisasi!$L$25-Konvergensi!$D$131;2);PANGKAT(Normalisasi!$M$25-Konvergensi!$E$131;2);PANGKAT(Normalisasi!$N$25-Konvergensi!$F$131;2);PANGKAT(Normalisasi!$O$25-Konvergensi!$G$131;2);PANGKAT(Normalisasi!$P$25-Konvergensi!$H$131;2)))</f>
        <v/>
      </c>
      <c r="F164">
        <f>JIKA(C164&lt;=D164;=JIKA(C164&lt;=E164;0;2);=JIKA(D164&lt;=E164;1;2))</f>
        <v/>
      </c>
      <c r="G164">
        <f>JUMLAH(JIKA(F164=0;JUMLAH(PANGKAT(Normalisasi!$J$25-Konvergensi!$B$194;2);PANGKAT(Normalisasi!$K$25-Konvergensi!$C$194;2);PANGKAT(Normalisasi!$L$25-Konvergensi!$D$194;2);PANGKAT(Normalisasi!$M$25-Konvergensi!$E$194;2);PANGKAT(Normalisasi!$N$25-Konvergensi!$F$194;2);PANGKAT(Normalisasi!$O$25-Konvergensi!$G$194;2);PANGKAT(Normalisasi!$P$25-Konvergensi!$H$194;2));0);JIKA(F164=1;JUMLAH(PANGKAT(Normalisasi!$J$25-Konvergensi!$B$195;2);PANGKAT(Normalisasi!$K$25-Konvergensi!$C$195;2);PANGKAT(Normalisasi!$L$25-Konvergensi!$D$195;2);PANGKAT(Normalisasi!$M$25-Konvergensi!$E$195;2);PANGKAT(Normalisasi!$N$25-Konvergensi!$F$195;2);PANGKAT(Normalisasi!$O$25-Konvergensi!$G$195;2);PANGKAT(Normalisasi!$P$25-Konvergensi!$H$195;2));0);JIKA(F164=2;JUMLAH(PANGKAT(Normalisasi!$J$25-Konvergensi!$B$196;2);PANGKAT(Normalisasi!$K$25-Konvergensi!$C$196;2);PANGKAT(Normalisasi!$L$25-Konvergensi!$D$196;2);PANGKAT(Normalisasi!$M$25-Konvergensi!$E$196;2);PANGKAT(Normalisasi!$N$25-Konvergensi!$F$196;2);PANGKAT(Normalisasi!$O$25-Konvergensi!$G$196;2);PANGKAT(Normalisasi!$P$25-Konvergensi!$H$196;2));0))</f>
        <v/>
      </c>
      <c r="H164" t="n">
        <v>1</v>
      </c>
      <c r="I164" t="n">
        <v>3.927508727928172</v>
      </c>
    </row>
    <row r="165">
      <c r="A165">
        <f>Data_Awal!A26</f>
        <v/>
      </c>
      <c r="B165">
        <f>Data_Awal!B26</f>
        <v/>
      </c>
      <c r="C165">
        <f>AKAR(JUMLAH(PANGKAT(Normalisasi!$J$26-Konvergensi!$B$129;2);PANGKAT(Normalisasi!$K$26-Konvergensi!$C$129;2);PANGKAT(Normalisasi!$L$26-Konvergensi!$D$129;2);PANGKAT(Normalisasi!$M$26-Konvergensi!$E$129;2);PANGKAT(Normalisasi!$N$26-Konvergensi!$F$129;2);PANGKAT(Normalisasi!$O$26-Konvergensi!$G$129;2);PANGKAT(Normalisasi!$P$26-Konvergensi!$H$129;2)))</f>
        <v/>
      </c>
      <c r="D165">
        <f>AKAR(JUMLAH(PANGKAT(Normalisasi!$J$26-Konvergensi!$B$130;2);PANGKAT(Normalisasi!$K$26-Konvergensi!$C$130;2);PANGKAT(Normalisasi!$L$26-Konvergensi!$D$130;2);PANGKAT(Normalisasi!$M$26-Konvergensi!$E$130;2);PANGKAT(Normalisasi!$N$26-Konvergensi!$F$130;2);PANGKAT(Normalisasi!$O$26-Konvergensi!$G$130;2);PANGKAT(Normalisasi!$P$26-Konvergensi!$H$130;2)))</f>
        <v/>
      </c>
      <c r="E165">
        <f>AKAR(JUMLAH(PANGKAT(Normalisasi!$J$26-Konvergensi!$B$131;2);PANGKAT(Normalisasi!$K$26-Konvergensi!$C$131;2);PANGKAT(Normalisasi!$L$26-Konvergensi!$D$131;2);PANGKAT(Normalisasi!$M$26-Konvergensi!$E$131;2);PANGKAT(Normalisasi!$N$26-Konvergensi!$F$131;2);PANGKAT(Normalisasi!$O$26-Konvergensi!$G$131;2);PANGKAT(Normalisasi!$P$26-Konvergensi!$H$131;2)))</f>
        <v/>
      </c>
      <c r="F165">
        <f>JIKA(C165&lt;=D165;=JIKA(C165&lt;=E165;0;2);=JIKA(D165&lt;=E165;1;2))</f>
        <v/>
      </c>
      <c r="G165">
        <f>JUMLAH(JIKA(F165=0;JUMLAH(PANGKAT(Normalisasi!$J$26-Konvergensi!$B$194;2);PANGKAT(Normalisasi!$K$26-Konvergensi!$C$194;2);PANGKAT(Normalisasi!$L$26-Konvergensi!$D$194;2);PANGKAT(Normalisasi!$M$26-Konvergensi!$E$194;2);PANGKAT(Normalisasi!$N$26-Konvergensi!$F$194;2);PANGKAT(Normalisasi!$O$26-Konvergensi!$G$194;2);PANGKAT(Normalisasi!$P$26-Konvergensi!$H$194;2));0);JIKA(F165=1;JUMLAH(PANGKAT(Normalisasi!$J$26-Konvergensi!$B$195;2);PANGKAT(Normalisasi!$K$26-Konvergensi!$C$195;2);PANGKAT(Normalisasi!$L$26-Konvergensi!$D$195;2);PANGKAT(Normalisasi!$M$26-Konvergensi!$E$195;2);PANGKAT(Normalisasi!$N$26-Konvergensi!$F$195;2);PANGKAT(Normalisasi!$O$26-Konvergensi!$G$195;2);PANGKAT(Normalisasi!$P$26-Konvergensi!$H$195;2));0);JIKA(F165=2;JUMLAH(PANGKAT(Normalisasi!$J$26-Konvergensi!$B$196;2);PANGKAT(Normalisasi!$K$26-Konvergensi!$C$196;2);PANGKAT(Normalisasi!$L$26-Konvergensi!$D$196;2);PANGKAT(Normalisasi!$M$26-Konvergensi!$E$196;2);PANGKAT(Normalisasi!$N$26-Konvergensi!$F$196;2);PANGKAT(Normalisasi!$O$26-Konvergensi!$G$196;2);PANGKAT(Normalisasi!$P$26-Konvergensi!$H$196;2));0))</f>
        <v/>
      </c>
      <c r="H165" t="n">
        <v>2</v>
      </c>
      <c r="I165" t="n">
        <v>5.172444629653836</v>
      </c>
    </row>
    <row r="166">
      <c r="A166">
        <f>Data_Awal!A27</f>
        <v/>
      </c>
      <c r="B166">
        <f>Data_Awal!B27</f>
        <v/>
      </c>
      <c r="C166">
        <f>AKAR(JUMLAH(PANGKAT(Normalisasi!$J$27-Konvergensi!$B$129;2);PANGKAT(Normalisasi!$K$27-Konvergensi!$C$129;2);PANGKAT(Normalisasi!$L$27-Konvergensi!$D$129;2);PANGKAT(Normalisasi!$M$27-Konvergensi!$E$129;2);PANGKAT(Normalisasi!$N$27-Konvergensi!$F$129;2);PANGKAT(Normalisasi!$O$27-Konvergensi!$G$129;2);PANGKAT(Normalisasi!$P$27-Konvergensi!$H$129;2)))</f>
        <v/>
      </c>
      <c r="D166">
        <f>AKAR(JUMLAH(PANGKAT(Normalisasi!$J$27-Konvergensi!$B$130;2);PANGKAT(Normalisasi!$K$27-Konvergensi!$C$130;2);PANGKAT(Normalisasi!$L$27-Konvergensi!$D$130;2);PANGKAT(Normalisasi!$M$27-Konvergensi!$E$130;2);PANGKAT(Normalisasi!$N$27-Konvergensi!$F$130;2);PANGKAT(Normalisasi!$O$27-Konvergensi!$G$130;2);PANGKAT(Normalisasi!$P$27-Konvergensi!$H$130;2)))</f>
        <v/>
      </c>
      <c r="E166">
        <f>AKAR(JUMLAH(PANGKAT(Normalisasi!$J$27-Konvergensi!$B$131;2);PANGKAT(Normalisasi!$K$27-Konvergensi!$C$131;2);PANGKAT(Normalisasi!$L$27-Konvergensi!$D$131;2);PANGKAT(Normalisasi!$M$27-Konvergensi!$E$131;2);PANGKAT(Normalisasi!$N$27-Konvergensi!$F$131;2);PANGKAT(Normalisasi!$O$27-Konvergensi!$G$131;2);PANGKAT(Normalisasi!$P$27-Konvergensi!$H$131;2)))</f>
        <v/>
      </c>
      <c r="F166">
        <f>JIKA(C166&lt;=D166;=JIKA(C166&lt;=E166;0;2);=JIKA(D166&lt;=E166;1;2))</f>
        <v/>
      </c>
      <c r="G166">
        <f>JUMLAH(JIKA(F166=0;JUMLAH(PANGKAT(Normalisasi!$J$27-Konvergensi!$B$194;2);PANGKAT(Normalisasi!$K$27-Konvergensi!$C$194;2);PANGKAT(Normalisasi!$L$27-Konvergensi!$D$194;2);PANGKAT(Normalisasi!$M$27-Konvergensi!$E$194;2);PANGKAT(Normalisasi!$N$27-Konvergensi!$F$194;2);PANGKAT(Normalisasi!$O$27-Konvergensi!$G$194;2);PANGKAT(Normalisasi!$P$27-Konvergensi!$H$194;2));0);JIKA(F166=1;JUMLAH(PANGKAT(Normalisasi!$J$27-Konvergensi!$B$195;2);PANGKAT(Normalisasi!$K$27-Konvergensi!$C$195;2);PANGKAT(Normalisasi!$L$27-Konvergensi!$D$195;2);PANGKAT(Normalisasi!$M$27-Konvergensi!$E$195;2);PANGKAT(Normalisasi!$N$27-Konvergensi!$F$195;2);PANGKAT(Normalisasi!$O$27-Konvergensi!$G$195;2);PANGKAT(Normalisasi!$P$27-Konvergensi!$H$195;2));0);JIKA(F166=2;JUMLAH(PANGKAT(Normalisasi!$J$27-Konvergensi!$B$196;2);PANGKAT(Normalisasi!$K$27-Konvergensi!$C$196;2);PANGKAT(Normalisasi!$L$27-Konvergensi!$D$196;2);PANGKAT(Normalisasi!$M$27-Konvergensi!$E$196;2);PANGKAT(Normalisasi!$N$27-Konvergensi!$F$196;2);PANGKAT(Normalisasi!$O$27-Konvergensi!$G$196;2);PANGKAT(Normalisasi!$P$27-Konvergensi!$H$196;2));0))</f>
        <v/>
      </c>
      <c r="H166" t="n">
        <v>0</v>
      </c>
      <c r="I166" t="n">
        <v>1.814517252224193</v>
      </c>
    </row>
    <row r="167">
      <c r="A167">
        <f>Data_Awal!A28</f>
        <v/>
      </c>
      <c r="B167">
        <f>Data_Awal!B28</f>
        <v/>
      </c>
      <c r="C167">
        <f>AKAR(JUMLAH(PANGKAT(Normalisasi!$J$28-Konvergensi!$B$129;2);PANGKAT(Normalisasi!$K$28-Konvergensi!$C$129;2);PANGKAT(Normalisasi!$L$28-Konvergensi!$D$129;2);PANGKAT(Normalisasi!$M$28-Konvergensi!$E$129;2);PANGKAT(Normalisasi!$N$28-Konvergensi!$F$129;2);PANGKAT(Normalisasi!$O$28-Konvergensi!$G$129;2);PANGKAT(Normalisasi!$P$28-Konvergensi!$H$129;2)))</f>
        <v/>
      </c>
      <c r="D167">
        <f>AKAR(JUMLAH(PANGKAT(Normalisasi!$J$28-Konvergensi!$B$130;2);PANGKAT(Normalisasi!$K$28-Konvergensi!$C$130;2);PANGKAT(Normalisasi!$L$28-Konvergensi!$D$130;2);PANGKAT(Normalisasi!$M$28-Konvergensi!$E$130;2);PANGKAT(Normalisasi!$N$28-Konvergensi!$F$130;2);PANGKAT(Normalisasi!$O$28-Konvergensi!$G$130;2);PANGKAT(Normalisasi!$P$28-Konvergensi!$H$130;2)))</f>
        <v/>
      </c>
      <c r="E167">
        <f>AKAR(JUMLAH(PANGKAT(Normalisasi!$J$28-Konvergensi!$B$131;2);PANGKAT(Normalisasi!$K$28-Konvergensi!$C$131;2);PANGKAT(Normalisasi!$L$28-Konvergensi!$D$131;2);PANGKAT(Normalisasi!$M$28-Konvergensi!$E$131;2);PANGKAT(Normalisasi!$N$28-Konvergensi!$F$131;2);PANGKAT(Normalisasi!$O$28-Konvergensi!$G$131;2);PANGKAT(Normalisasi!$P$28-Konvergensi!$H$131;2)))</f>
        <v/>
      </c>
      <c r="F167">
        <f>JIKA(C167&lt;=D167;=JIKA(C167&lt;=E167;0;2);=JIKA(D167&lt;=E167;1;2))</f>
        <v/>
      </c>
      <c r="G167">
        <f>JUMLAH(JIKA(F167=0;JUMLAH(PANGKAT(Normalisasi!$J$28-Konvergensi!$B$194;2);PANGKAT(Normalisasi!$K$28-Konvergensi!$C$194;2);PANGKAT(Normalisasi!$L$28-Konvergensi!$D$194;2);PANGKAT(Normalisasi!$M$28-Konvergensi!$E$194;2);PANGKAT(Normalisasi!$N$28-Konvergensi!$F$194;2);PANGKAT(Normalisasi!$O$28-Konvergensi!$G$194;2);PANGKAT(Normalisasi!$P$28-Konvergensi!$H$194;2));0);JIKA(F167=1;JUMLAH(PANGKAT(Normalisasi!$J$28-Konvergensi!$B$195;2);PANGKAT(Normalisasi!$K$28-Konvergensi!$C$195;2);PANGKAT(Normalisasi!$L$28-Konvergensi!$D$195;2);PANGKAT(Normalisasi!$M$28-Konvergensi!$E$195;2);PANGKAT(Normalisasi!$N$28-Konvergensi!$F$195;2);PANGKAT(Normalisasi!$O$28-Konvergensi!$G$195;2);PANGKAT(Normalisasi!$P$28-Konvergensi!$H$195;2));0);JIKA(F167=2;JUMLAH(PANGKAT(Normalisasi!$J$28-Konvergensi!$B$196;2);PANGKAT(Normalisasi!$K$28-Konvergensi!$C$196;2);PANGKAT(Normalisasi!$L$28-Konvergensi!$D$196;2);PANGKAT(Normalisasi!$M$28-Konvergensi!$E$196;2);PANGKAT(Normalisasi!$N$28-Konvergensi!$F$196;2);PANGKAT(Normalisasi!$O$28-Konvergensi!$G$196;2);PANGKAT(Normalisasi!$P$28-Konvergensi!$H$196;2));0))</f>
        <v/>
      </c>
      <c r="H167" t="n">
        <v>0</v>
      </c>
      <c r="I167" t="n">
        <v>11.79199924168015</v>
      </c>
    </row>
    <row r="168">
      <c r="A168">
        <f>Data_Awal!A29</f>
        <v/>
      </c>
      <c r="B168">
        <f>Data_Awal!B29</f>
        <v/>
      </c>
      <c r="C168">
        <f>AKAR(JUMLAH(PANGKAT(Normalisasi!$J$29-Konvergensi!$B$129;2);PANGKAT(Normalisasi!$K$29-Konvergensi!$C$129;2);PANGKAT(Normalisasi!$L$29-Konvergensi!$D$129;2);PANGKAT(Normalisasi!$M$29-Konvergensi!$E$129;2);PANGKAT(Normalisasi!$N$29-Konvergensi!$F$129;2);PANGKAT(Normalisasi!$O$29-Konvergensi!$G$129;2);PANGKAT(Normalisasi!$P$29-Konvergensi!$H$129;2)))</f>
        <v/>
      </c>
      <c r="D168">
        <f>AKAR(JUMLAH(PANGKAT(Normalisasi!$J$29-Konvergensi!$B$130;2);PANGKAT(Normalisasi!$K$29-Konvergensi!$C$130;2);PANGKAT(Normalisasi!$L$29-Konvergensi!$D$130;2);PANGKAT(Normalisasi!$M$29-Konvergensi!$E$130;2);PANGKAT(Normalisasi!$N$29-Konvergensi!$F$130;2);PANGKAT(Normalisasi!$O$29-Konvergensi!$G$130;2);PANGKAT(Normalisasi!$P$29-Konvergensi!$H$130;2)))</f>
        <v/>
      </c>
      <c r="E168">
        <f>AKAR(JUMLAH(PANGKAT(Normalisasi!$J$29-Konvergensi!$B$131;2);PANGKAT(Normalisasi!$K$29-Konvergensi!$C$131;2);PANGKAT(Normalisasi!$L$29-Konvergensi!$D$131;2);PANGKAT(Normalisasi!$M$29-Konvergensi!$E$131;2);PANGKAT(Normalisasi!$N$29-Konvergensi!$F$131;2);PANGKAT(Normalisasi!$O$29-Konvergensi!$G$131;2);PANGKAT(Normalisasi!$P$29-Konvergensi!$H$131;2)))</f>
        <v/>
      </c>
      <c r="F168">
        <f>JIKA(C168&lt;=D168;=JIKA(C168&lt;=E168;0;2);=JIKA(D168&lt;=E168;1;2))</f>
        <v/>
      </c>
      <c r="G168">
        <f>JUMLAH(JIKA(F168=0;JUMLAH(PANGKAT(Normalisasi!$J$29-Konvergensi!$B$194;2);PANGKAT(Normalisasi!$K$29-Konvergensi!$C$194;2);PANGKAT(Normalisasi!$L$29-Konvergensi!$D$194;2);PANGKAT(Normalisasi!$M$29-Konvergensi!$E$194;2);PANGKAT(Normalisasi!$N$29-Konvergensi!$F$194;2);PANGKAT(Normalisasi!$O$29-Konvergensi!$G$194;2);PANGKAT(Normalisasi!$P$29-Konvergensi!$H$194;2));0);JIKA(F168=1;JUMLAH(PANGKAT(Normalisasi!$J$29-Konvergensi!$B$195;2);PANGKAT(Normalisasi!$K$29-Konvergensi!$C$195;2);PANGKAT(Normalisasi!$L$29-Konvergensi!$D$195;2);PANGKAT(Normalisasi!$M$29-Konvergensi!$E$195;2);PANGKAT(Normalisasi!$N$29-Konvergensi!$F$195;2);PANGKAT(Normalisasi!$O$29-Konvergensi!$G$195;2);PANGKAT(Normalisasi!$P$29-Konvergensi!$H$195;2));0);JIKA(F168=2;JUMLAH(PANGKAT(Normalisasi!$J$29-Konvergensi!$B$196;2);PANGKAT(Normalisasi!$K$29-Konvergensi!$C$196;2);PANGKAT(Normalisasi!$L$29-Konvergensi!$D$196;2);PANGKAT(Normalisasi!$M$29-Konvergensi!$E$196;2);PANGKAT(Normalisasi!$N$29-Konvergensi!$F$196;2);PANGKAT(Normalisasi!$O$29-Konvergensi!$G$196;2);PANGKAT(Normalisasi!$P$29-Konvergensi!$H$196;2));0))</f>
        <v/>
      </c>
      <c r="H168" t="n">
        <v>0</v>
      </c>
      <c r="I168" t="n">
        <v>5.514135847854668</v>
      </c>
    </row>
    <row r="169">
      <c r="A169">
        <f>Data_Awal!A30</f>
        <v/>
      </c>
      <c r="B169">
        <f>Data_Awal!B30</f>
        <v/>
      </c>
      <c r="C169">
        <f>AKAR(JUMLAH(PANGKAT(Normalisasi!$J$30-Konvergensi!$B$129;2);PANGKAT(Normalisasi!$K$30-Konvergensi!$C$129;2);PANGKAT(Normalisasi!$L$30-Konvergensi!$D$129;2);PANGKAT(Normalisasi!$M$30-Konvergensi!$E$129;2);PANGKAT(Normalisasi!$N$30-Konvergensi!$F$129;2);PANGKAT(Normalisasi!$O$30-Konvergensi!$G$129;2);PANGKAT(Normalisasi!$P$30-Konvergensi!$H$129;2)))</f>
        <v/>
      </c>
      <c r="D169">
        <f>AKAR(JUMLAH(PANGKAT(Normalisasi!$J$30-Konvergensi!$B$130;2);PANGKAT(Normalisasi!$K$30-Konvergensi!$C$130;2);PANGKAT(Normalisasi!$L$30-Konvergensi!$D$130;2);PANGKAT(Normalisasi!$M$30-Konvergensi!$E$130;2);PANGKAT(Normalisasi!$N$30-Konvergensi!$F$130;2);PANGKAT(Normalisasi!$O$30-Konvergensi!$G$130;2);PANGKAT(Normalisasi!$P$30-Konvergensi!$H$130;2)))</f>
        <v/>
      </c>
      <c r="E169">
        <f>AKAR(JUMLAH(PANGKAT(Normalisasi!$J$30-Konvergensi!$B$131;2);PANGKAT(Normalisasi!$K$30-Konvergensi!$C$131;2);PANGKAT(Normalisasi!$L$30-Konvergensi!$D$131;2);PANGKAT(Normalisasi!$M$30-Konvergensi!$E$131;2);PANGKAT(Normalisasi!$N$30-Konvergensi!$F$131;2);PANGKAT(Normalisasi!$O$30-Konvergensi!$G$131;2);PANGKAT(Normalisasi!$P$30-Konvergensi!$H$131;2)))</f>
        <v/>
      </c>
      <c r="F169">
        <f>JIKA(C169&lt;=D169;=JIKA(C169&lt;=E169;0;2);=JIKA(D169&lt;=E169;1;2))</f>
        <v/>
      </c>
      <c r="G169">
        <f>JUMLAH(JIKA(F169=0;JUMLAH(PANGKAT(Normalisasi!$J$30-Konvergensi!$B$194;2);PANGKAT(Normalisasi!$K$30-Konvergensi!$C$194;2);PANGKAT(Normalisasi!$L$30-Konvergensi!$D$194;2);PANGKAT(Normalisasi!$M$30-Konvergensi!$E$194;2);PANGKAT(Normalisasi!$N$30-Konvergensi!$F$194;2);PANGKAT(Normalisasi!$O$30-Konvergensi!$G$194;2);PANGKAT(Normalisasi!$P$30-Konvergensi!$H$194;2));0);JIKA(F169=1;JUMLAH(PANGKAT(Normalisasi!$J$30-Konvergensi!$B$195;2);PANGKAT(Normalisasi!$K$30-Konvergensi!$C$195;2);PANGKAT(Normalisasi!$L$30-Konvergensi!$D$195;2);PANGKAT(Normalisasi!$M$30-Konvergensi!$E$195;2);PANGKAT(Normalisasi!$N$30-Konvergensi!$F$195;2);PANGKAT(Normalisasi!$O$30-Konvergensi!$G$195;2);PANGKAT(Normalisasi!$P$30-Konvergensi!$H$195;2));0);JIKA(F169=2;JUMLAH(PANGKAT(Normalisasi!$J$30-Konvergensi!$B$196;2);PANGKAT(Normalisasi!$K$30-Konvergensi!$C$196;2);PANGKAT(Normalisasi!$L$30-Konvergensi!$D$196;2);PANGKAT(Normalisasi!$M$30-Konvergensi!$E$196;2);PANGKAT(Normalisasi!$N$30-Konvergensi!$F$196;2);PANGKAT(Normalisasi!$O$30-Konvergensi!$G$196;2);PANGKAT(Normalisasi!$P$30-Konvergensi!$H$196;2));0))</f>
        <v/>
      </c>
      <c r="H169" t="n">
        <v>0</v>
      </c>
      <c r="I169" t="n">
        <v>7.006035000765999</v>
      </c>
    </row>
    <row r="170">
      <c r="A170">
        <f>Data_Awal!A31</f>
        <v/>
      </c>
      <c r="B170">
        <f>Data_Awal!B31</f>
        <v/>
      </c>
      <c r="C170">
        <f>AKAR(JUMLAH(PANGKAT(Normalisasi!$J$31-Konvergensi!$B$129;2);PANGKAT(Normalisasi!$K$31-Konvergensi!$C$129;2);PANGKAT(Normalisasi!$L$31-Konvergensi!$D$129;2);PANGKAT(Normalisasi!$M$31-Konvergensi!$E$129;2);PANGKAT(Normalisasi!$N$31-Konvergensi!$F$129;2);PANGKAT(Normalisasi!$O$31-Konvergensi!$G$129;2);PANGKAT(Normalisasi!$P$31-Konvergensi!$H$129;2)))</f>
        <v/>
      </c>
      <c r="D170">
        <f>AKAR(JUMLAH(PANGKAT(Normalisasi!$J$31-Konvergensi!$B$130;2);PANGKAT(Normalisasi!$K$31-Konvergensi!$C$130;2);PANGKAT(Normalisasi!$L$31-Konvergensi!$D$130;2);PANGKAT(Normalisasi!$M$31-Konvergensi!$E$130;2);PANGKAT(Normalisasi!$N$31-Konvergensi!$F$130;2);PANGKAT(Normalisasi!$O$31-Konvergensi!$G$130;2);PANGKAT(Normalisasi!$P$31-Konvergensi!$H$130;2)))</f>
        <v/>
      </c>
      <c r="E170">
        <f>AKAR(JUMLAH(PANGKAT(Normalisasi!$J$31-Konvergensi!$B$131;2);PANGKAT(Normalisasi!$K$31-Konvergensi!$C$131;2);PANGKAT(Normalisasi!$L$31-Konvergensi!$D$131;2);PANGKAT(Normalisasi!$M$31-Konvergensi!$E$131;2);PANGKAT(Normalisasi!$N$31-Konvergensi!$F$131;2);PANGKAT(Normalisasi!$O$31-Konvergensi!$G$131;2);PANGKAT(Normalisasi!$P$31-Konvergensi!$H$131;2)))</f>
        <v/>
      </c>
      <c r="F170">
        <f>JIKA(C170&lt;=D170;=JIKA(C170&lt;=E170;0;2);=JIKA(D170&lt;=E170;1;2))</f>
        <v/>
      </c>
      <c r="G170">
        <f>JUMLAH(JIKA(F170=0;JUMLAH(PANGKAT(Normalisasi!$J$31-Konvergensi!$B$194;2);PANGKAT(Normalisasi!$K$31-Konvergensi!$C$194;2);PANGKAT(Normalisasi!$L$31-Konvergensi!$D$194;2);PANGKAT(Normalisasi!$M$31-Konvergensi!$E$194;2);PANGKAT(Normalisasi!$N$31-Konvergensi!$F$194;2);PANGKAT(Normalisasi!$O$31-Konvergensi!$G$194;2);PANGKAT(Normalisasi!$P$31-Konvergensi!$H$194;2));0);JIKA(F170=1;JUMLAH(PANGKAT(Normalisasi!$J$31-Konvergensi!$B$195;2);PANGKAT(Normalisasi!$K$31-Konvergensi!$C$195;2);PANGKAT(Normalisasi!$L$31-Konvergensi!$D$195;2);PANGKAT(Normalisasi!$M$31-Konvergensi!$E$195;2);PANGKAT(Normalisasi!$N$31-Konvergensi!$F$195;2);PANGKAT(Normalisasi!$O$31-Konvergensi!$G$195;2);PANGKAT(Normalisasi!$P$31-Konvergensi!$H$195;2));0);JIKA(F170=2;JUMLAH(PANGKAT(Normalisasi!$J$31-Konvergensi!$B$196;2);PANGKAT(Normalisasi!$K$31-Konvergensi!$C$196;2);PANGKAT(Normalisasi!$L$31-Konvergensi!$D$196;2);PANGKAT(Normalisasi!$M$31-Konvergensi!$E$196;2);PANGKAT(Normalisasi!$N$31-Konvergensi!$F$196;2);PANGKAT(Normalisasi!$O$31-Konvergensi!$G$196;2);PANGKAT(Normalisasi!$P$31-Konvergensi!$H$196;2));0))</f>
        <v/>
      </c>
      <c r="H170" t="n">
        <v>0</v>
      </c>
      <c r="I170" t="n">
        <v>7.781960303177343</v>
      </c>
    </row>
    <row r="171">
      <c r="A171">
        <f>Data_Awal!A32</f>
        <v/>
      </c>
      <c r="B171">
        <f>Data_Awal!B32</f>
        <v/>
      </c>
      <c r="C171">
        <f>AKAR(JUMLAH(PANGKAT(Normalisasi!$J$32-Konvergensi!$B$129;2);PANGKAT(Normalisasi!$K$32-Konvergensi!$C$129;2);PANGKAT(Normalisasi!$L$32-Konvergensi!$D$129;2);PANGKAT(Normalisasi!$M$32-Konvergensi!$E$129;2);PANGKAT(Normalisasi!$N$32-Konvergensi!$F$129;2);PANGKAT(Normalisasi!$O$32-Konvergensi!$G$129;2);PANGKAT(Normalisasi!$P$32-Konvergensi!$H$129;2)))</f>
        <v/>
      </c>
      <c r="D171">
        <f>AKAR(JUMLAH(PANGKAT(Normalisasi!$J$32-Konvergensi!$B$130;2);PANGKAT(Normalisasi!$K$32-Konvergensi!$C$130;2);PANGKAT(Normalisasi!$L$32-Konvergensi!$D$130;2);PANGKAT(Normalisasi!$M$32-Konvergensi!$E$130;2);PANGKAT(Normalisasi!$N$32-Konvergensi!$F$130;2);PANGKAT(Normalisasi!$O$32-Konvergensi!$G$130;2);PANGKAT(Normalisasi!$P$32-Konvergensi!$H$130;2)))</f>
        <v/>
      </c>
      <c r="E171">
        <f>AKAR(JUMLAH(PANGKAT(Normalisasi!$J$32-Konvergensi!$B$131;2);PANGKAT(Normalisasi!$K$32-Konvergensi!$C$131;2);PANGKAT(Normalisasi!$L$32-Konvergensi!$D$131;2);PANGKAT(Normalisasi!$M$32-Konvergensi!$E$131;2);PANGKAT(Normalisasi!$N$32-Konvergensi!$F$131;2);PANGKAT(Normalisasi!$O$32-Konvergensi!$G$131;2);PANGKAT(Normalisasi!$P$32-Konvergensi!$H$131;2)))</f>
        <v/>
      </c>
      <c r="F171">
        <f>JIKA(C171&lt;=D171;=JIKA(C171&lt;=E171;0;2);=JIKA(D171&lt;=E171;1;2))</f>
        <v/>
      </c>
      <c r="G171">
        <f>JUMLAH(JIKA(F171=0;JUMLAH(PANGKAT(Normalisasi!$J$32-Konvergensi!$B$194;2);PANGKAT(Normalisasi!$K$32-Konvergensi!$C$194;2);PANGKAT(Normalisasi!$L$32-Konvergensi!$D$194;2);PANGKAT(Normalisasi!$M$32-Konvergensi!$E$194;2);PANGKAT(Normalisasi!$N$32-Konvergensi!$F$194;2);PANGKAT(Normalisasi!$O$32-Konvergensi!$G$194;2);PANGKAT(Normalisasi!$P$32-Konvergensi!$H$194;2));0);JIKA(F171=1;JUMLAH(PANGKAT(Normalisasi!$J$32-Konvergensi!$B$195;2);PANGKAT(Normalisasi!$K$32-Konvergensi!$C$195;2);PANGKAT(Normalisasi!$L$32-Konvergensi!$D$195;2);PANGKAT(Normalisasi!$M$32-Konvergensi!$E$195;2);PANGKAT(Normalisasi!$N$32-Konvergensi!$F$195;2);PANGKAT(Normalisasi!$O$32-Konvergensi!$G$195;2);PANGKAT(Normalisasi!$P$32-Konvergensi!$H$195;2));0);JIKA(F171=2;JUMLAH(PANGKAT(Normalisasi!$J$32-Konvergensi!$B$196;2);PANGKAT(Normalisasi!$K$32-Konvergensi!$C$196;2);PANGKAT(Normalisasi!$L$32-Konvergensi!$D$196;2);PANGKAT(Normalisasi!$M$32-Konvergensi!$E$196;2);PANGKAT(Normalisasi!$N$32-Konvergensi!$F$196;2);PANGKAT(Normalisasi!$O$32-Konvergensi!$G$196;2);PANGKAT(Normalisasi!$P$32-Konvergensi!$H$196;2));0))</f>
        <v/>
      </c>
      <c r="H171" t="n">
        <v>0</v>
      </c>
      <c r="I171" t="n">
        <v>5.195591204146949</v>
      </c>
    </row>
    <row r="172">
      <c r="A172">
        <f>Data_Awal!A33</f>
        <v/>
      </c>
      <c r="B172">
        <f>Data_Awal!B33</f>
        <v/>
      </c>
      <c r="C172">
        <f>AKAR(JUMLAH(PANGKAT(Normalisasi!$J$33-Konvergensi!$B$129;2);PANGKAT(Normalisasi!$K$33-Konvergensi!$C$129;2);PANGKAT(Normalisasi!$L$33-Konvergensi!$D$129;2);PANGKAT(Normalisasi!$M$33-Konvergensi!$E$129;2);PANGKAT(Normalisasi!$N$33-Konvergensi!$F$129;2);PANGKAT(Normalisasi!$O$33-Konvergensi!$G$129;2);PANGKAT(Normalisasi!$P$33-Konvergensi!$H$129;2)))</f>
        <v/>
      </c>
      <c r="D172">
        <f>AKAR(JUMLAH(PANGKAT(Normalisasi!$J$33-Konvergensi!$B$130;2);PANGKAT(Normalisasi!$K$33-Konvergensi!$C$130;2);PANGKAT(Normalisasi!$L$33-Konvergensi!$D$130;2);PANGKAT(Normalisasi!$M$33-Konvergensi!$E$130;2);PANGKAT(Normalisasi!$N$33-Konvergensi!$F$130;2);PANGKAT(Normalisasi!$O$33-Konvergensi!$G$130;2);PANGKAT(Normalisasi!$P$33-Konvergensi!$H$130;2)))</f>
        <v/>
      </c>
      <c r="E172">
        <f>AKAR(JUMLAH(PANGKAT(Normalisasi!$J$33-Konvergensi!$B$131;2);PANGKAT(Normalisasi!$K$33-Konvergensi!$C$131;2);PANGKAT(Normalisasi!$L$33-Konvergensi!$D$131;2);PANGKAT(Normalisasi!$M$33-Konvergensi!$E$131;2);PANGKAT(Normalisasi!$N$33-Konvergensi!$F$131;2);PANGKAT(Normalisasi!$O$33-Konvergensi!$G$131;2);PANGKAT(Normalisasi!$P$33-Konvergensi!$H$131;2)))</f>
        <v/>
      </c>
      <c r="F172">
        <f>JIKA(C172&lt;=D172;=JIKA(C172&lt;=E172;0;2);=JIKA(D172&lt;=E172;1;2))</f>
        <v/>
      </c>
      <c r="G172">
        <f>JUMLAH(JIKA(F172=0;JUMLAH(PANGKAT(Normalisasi!$J$33-Konvergensi!$B$194;2);PANGKAT(Normalisasi!$K$33-Konvergensi!$C$194;2);PANGKAT(Normalisasi!$L$33-Konvergensi!$D$194;2);PANGKAT(Normalisasi!$M$33-Konvergensi!$E$194;2);PANGKAT(Normalisasi!$N$33-Konvergensi!$F$194;2);PANGKAT(Normalisasi!$O$33-Konvergensi!$G$194;2);PANGKAT(Normalisasi!$P$33-Konvergensi!$H$194;2));0);JIKA(F172=1;JUMLAH(PANGKAT(Normalisasi!$J$33-Konvergensi!$B$195;2);PANGKAT(Normalisasi!$K$33-Konvergensi!$C$195;2);PANGKAT(Normalisasi!$L$33-Konvergensi!$D$195;2);PANGKAT(Normalisasi!$M$33-Konvergensi!$E$195;2);PANGKAT(Normalisasi!$N$33-Konvergensi!$F$195;2);PANGKAT(Normalisasi!$O$33-Konvergensi!$G$195;2);PANGKAT(Normalisasi!$P$33-Konvergensi!$H$195;2));0);JIKA(F172=2;JUMLAH(PANGKAT(Normalisasi!$J$33-Konvergensi!$B$196;2);PANGKAT(Normalisasi!$K$33-Konvergensi!$C$196;2);PANGKAT(Normalisasi!$L$33-Konvergensi!$D$196;2);PANGKAT(Normalisasi!$M$33-Konvergensi!$E$196;2);PANGKAT(Normalisasi!$N$33-Konvergensi!$F$196;2);PANGKAT(Normalisasi!$O$33-Konvergensi!$G$196;2);PANGKAT(Normalisasi!$P$33-Konvergensi!$H$196;2));0))</f>
        <v/>
      </c>
      <c r="H172" t="n">
        <v>0</v>
      </c>
      <c r="I172" t="n">
        <v>7.40323866188122</v>
      </c>
    </row>
    <row r="173">
      <c r="A173">
        <f>Data_Awal!A34</f>
        <v/>
      </c>
      <c r="B173">
        <f>Data_Awal!B34</f>
        <v/>
      </c>
      <c r="C173">
        <f>AKAR(JUMLAH(PANGKAT(Normalisasi!$J$34-Konvergensi!$B$129;2);PANGKAT(Normalisasi!$K$34-Konvergensi!$C$129;2);PANGKAT(Normalisasi!$L$34-Konvergensi!$D$129;2);PANGKAT(Normalisasi!$M$34-Konvergensi!$E$129;2);PANGKAT(Normalisasi!$N$34-Konvergensi!$F$129;2);PANGKAT(Normalisasi!$O$34-Konvergensi!$G$129;2);PANGKAT(Normalisasi!$P$34-Konvergensi!$H$129;2)))</f>
        <v/>
      </c>
      <c r="D173">
        <f>AKAR(JUMLAH(PANGKAT(Normalisasi!$J$34-Konvergensi!$B$130;2);PANGKAT(Normalisasi!$K$34-Konvergensi!$C$130;2);PANGKAT(Normalisasi!$L$34-Konvergensi!$D$130;2);PANGKAT(Normalisasi!$M$34-Konvergensi!$E$130;2);PANGKAT(Normalisasi!$N$34-Konvergensi!$F$130;2);PANGKAT(Normalisasi!$O$34-Konvergensi!$G$130;2);PANGKAT(Normalisasi!$P$34-Konvergensi!$H$130;2)))</f>
        <v/>
      </c>
      <c r="E173">
        <f>AKAR(JUMLAH(PANGKAT(Normalisasi!$J$34-Konvergensi!$B$131;2);PANGKAT(Normalisasi!$K$34-Konvergensi!$C$131;2);PANGKAT(Normalisasi!$L$34-Konvergensi!$D$131;2);PANGKAT(Normalisasi!$M$34-Konvergensi!$E$131;2);PANGKAT(Normalisasi!$N$34-Konvergensi!$F$131;2);PANGKAT(Normalisasi!$O$34-Konvergensi!$G$131;2);PANGKAT(Normalisasi!$P$34-Konvergensi!$H$131;2)))</f>
        <v/>
      </c>
      <c r="F173">
        <f>JIKA(C173&lt;=D173;=JIKA(C173&lt;=E173;0;2);=JIKA(D173&lt;=E173;1;2))</f>
        <v/>
      </c>
      <c r="G173">
        <f>JUMLAH(JIKA(F173=0;JUMLAH(PANGKAT(Normalisasi!$J$34-Konvergensi!$B$194;2);PANGKAT(Normalisasi!$K$34-Konvergensi!$C$194;2);PANGKAT(Normalisasi!$L$34-Konvergensi!$D$194;2);PANGKAT(Normalisasi!$M$34-Konvergensi!$E$194;2);PANGKAT(Normalisasi!$N$34-Konvergensi!$F$194;2);PANGKAT(Normalisasi!$O$34-Konvergensi!$G$194;2);PANGKAT(Normalisasi!$P$34-Konvergensi!$H$194;2));0);JIKA(F173=1;JUMLAH(PANGKAT(Normalisasi!$J$34-Konvergensi!$B$195;2);PANGKAT(Normalisasi!$K$34-Konvergensi!$C$195;2);PANGKAT(Normalisasi!$L$34-Konvergensi!$D$195;2);PANGKAT(Normalisasi!$M$34-Konvergensi!$E$195;2);PANGKAT(Normalisasi!$N$34-Konvergensi!$F$195;2);PANGKAT(Normalisasi!$O$34-Konvergensi!$G$195;2);PANGKAT(Normalisasi!$P$34-Konvergensi!$H$195;2));0);JIKA(F173=2;JUMLAH(PANGKAT(Normalisasi!$J$34-Konvergensi!$B$196;2);PANGKAT(Normalisasi!$K$34-Konvergensi!$C$196;2);PANGKAT(Normalisasi!$L$34-Konvergensi!$D$196;2);PANGKAT(Normalisasi!$M$34-Konvergensi!$E$196;2);PANGKAT(Normalisasi!$N$34-Konvergensi!$F$196;2);PANGKAT(Normalisasi!$O$34-Konvergensi!$G$196;2);PANGKAT(Normalisasi!$P$34-Konvergensi!$H$196;2));0))</f>
        <v/>
      </c>
      <c r="H173" t="n">
        <v>1</v>
      </c>
      <c r="I173" t="n">
        <v>1.796962155428233</v>
      </c>
    </row>
    <row r="174">
      <c r="A174">
        <f>Data_Awal!A35</f>
        <v/>
      </c>
      <c r="B174">
        <f>Data_Awal!B35</f>
        <v/>
      </c>
      <c r="C174">
        <f>AKAR(JUMLAH(PANGKAT(Normalisasi!$J$35-Konvergensi!$B$129;2);PANGKAT(Normalisasi!$K$35-Konvergensi!$C$129;2);PANGKAT(Normalisasi!$L$35-Konvergensi!$D$129;2);PANGKAT(Normalisasi!$M$35-Konvergensi!$E$129;2);PANGKAT(Normalisasi!$N$35-Konvergensi!$F$129;2);PANGKAT(Normalisasi!$O$35-Konvergensi!$G$129;2);PANGKAT(Normalisasi!$P$35-Konvergensi!$H$129;2)))</f>
        <v/>
      </c>
      <c r="D174">
        <f>AKAR(JUMLAH(PANGKAT(Normalisasi!$J$35-Konvergensi!$B$130;2);PANGKAT(Normalisasi!$K$35-Konvergensi!$C$130;2);PANGKAT(Normalisasi!$L$35-Konvergensi!$D$130;2);PANGKAT(Normalisasi!$M$35-Konvergensi!$E$130;2);PANGKAT(Normalisasi!$N$35-Konvergensi!$F$130;2);PANGKAT(Normalisasi!$O$35-Konvergensi!$G$130;2);PANGKAT(Normalisasi!$P$35-Konvergensi!$H$130;2)))</f>
        <v/>
      </c>
      <c r="E174">
        <f>AKAR(JUMLAH(PANGKAT(Normalisasi!$J$35-Konvergensi!$B$131;2);PANGKAT(Normalisasi!$K$35-Konvergensi!$C$131;2);PANGKAT(Normalisasi!$L$35-Konvergensi!$D$131;2);PANGKAT(Normalisasi!$M$35-Konvergensi!$E$131;2);PANGKAT(Normalisasi!$N$35-Konvergensi!$F$131;2);PANGKAT(Normalisasi!$O$35-Konvergensi!$G$131;2);PANGKAT(Normalisasi!$P$35-Konvergensi!$H$131;2)))</f>
        <v/>
      </c>
      <c r="F174">
        <f>JIKA(C174&lt;=D174;=JIKA(C174&lt;=E174;0;2);=JIKA(D174&lt;=E174;1;2))</f>
        <v/>
      </c>
      <c r="G174">
        <f>JUMLAH(JIKA(F174=0;JUMLAH(PANGKAT(Normalisasi!$J$35-Konvergensi!$B$194;2);PANGKAT(Normalisasi!$K$35-Konvergensi!$C$194;2);PANGKAT(Normalisasi!$L$35-Konvergensi!$D$194;2);PANGKAT(Normalisasi!$M$35-Konvergensi!$E$194;2);PANGKAT(Normalisasi!$N$35-Konvergensi!$F$194;2);PANGKAT(Normalisasi!$O$35-Konvergensi!$G$194;2);PANGKAT(Normalisasi!$P$35-Konvergensi!$H$194;2));0);JIKA(F174=1;JUMLAH(PANGKAT(Normalisasi!$J$35-Konvergensi!$B$195;2);PANGKAT(Normalisasi!$K$35-Konvergensi!$C$195;2);PANGKAT(Normalisasi!$L$35-Konvergensi!$D$195;2);PANGKAT(Normalisasi!$M$35-Konvergensi!$E$195;2);PANGKAT(Normalisasi!$N$35-Konvergensi!$F$195;2);PANGKAT(Normalisasi!$O$35-Konvergensi!$G$195;2);PANGKAT(Normalisasi!$P$35-Konvergensi!$H$195;2));0);JIKA(F174=2;JUMLAH(PANGKAT(Normalisasi!$J$35-Konvergensi!$B$196;2);PANGKAT(Normalisasi!$K$35-Konvergensi!$C$196;2);PANGKAT(Normalisasi!$L$35-Konvergensi!$D$196;2);PANGKAT(Normalisasi!$M$35-Konvergensi!$E$196;2);PANGKAT(Normalisasi!$N$35-Konvergensi!$F$196;2);PANGKAT(Normalisasi!$O$35-Konvergensi!$G$196;2);PANGKAT(Normalisasi!$P$35-Konvergensi!$H$196;2));0))</f>
        <v/>
      </c>
      <c r="H174" t="n">
        <v>0</v>
      </c>
      <c r="I174" t="n">
        <v>3.879946760614968</v>
      </c>
    </row>
    <row r="175">
      <c r="A175">
        <f>Data_Awal!A36</f>
        <v/>
      </c>
      <c r="B175">
        <f>Data_Awal!B36</f>
        <v/>
      </c>
      <c r="C175">
        <f>AKAR(JUMLAH(PANGKAT(Normalisasi!$J$36-Konvergensi!$B$129;2);PANGKAT(Normalisasi!$K$36-Konvergensi!$C$129;2);PANGKAT(Normalisasi!$L$36-Konvergensi!$D$129;2);PANGKAT(Normalisasi!$M$36-Konvergensi!$E$129;2);PANGKAT(Normalisasi!$N$36-Konvergensi!$F$129;2);PANGKAT(Normalisasi!$O$36-Konvergensi!$G$129;2);PANGKAT(Normalisasi!$P$36-Konvergensi!$H$129;2)))</f>
        <v/>
      </c>
      <c r="D175">
        <f>AKAR(JUMLAH(PANGKAT(Normalisasi!$J$36-Konvergensi!$B$130;2);PANGKAT(Normalisasi!$K$36-Konvergensi!$C$130;2);PANGKAT(Normalisasi!$L$36-Konvergensi!$D$130;2);PANGKAT(Normalisasi!$M$36-Konvergensi!$E$130;2);PANGKAT(Normalisasi!$N$36-Konvergensi!$F$130;2);PANGKAT(Normalisasi!$O$36-Konvergensi!$G$130;2);PANGKAT(Normalisasi!$P$36-Konvergensi!$H$130;2)))</f>
        <v/>
      </c>
      <c r="E175">
        <f>AKAR(JUMLAH(PANGKAT(Normalisasi!$J$36-Konvergensi!$B$131;2);PANGKAT(Normalisasi!$K$36-Konvergensi!$C$131;2);PANGKAT(Normalisasi!$L$36-Konvergensi!$D$131;2);PANGKAT(Normalisasi!$M$36-Konvergensi!$E$131;2);PANGKAT(Normalisasi!$N$36-Konvergensi!$F$131;2);PANGKAT(Normalisasi!$O$36-Konvergensi!$G$131;2);PANGKAT(Normalisasi!$P$36-Konvergensi!$H$131;2)))</f>
        <v/>
      </c>
      <c r="F175">
        <f>JIKA(C175&lt;=D175;=JIKA(C175&lt;=E175;0;2);=JIKA(D175&lt;=E175;1;2))</f>
        <v/>
      </c>
      <c r="G175">
        <f>JUMLAH(JIKA(F175=0;JUMLAH(PANGKAT(Normalisasi!$J$36-Konvergensi!$B$194;2);PANGKAT(Normalisasi!$K$36-Konvergensi!$C$194;2);PANGKAT(Normalisasi!$L$36-Konvergensi!$D$194;2);PANGKAT(Normalisasi!$M$36-Konvergensi!$E$194;2);PANGKAT(Normalisasi!$N$36-Konvergensi!$F$194;2);PANGKAT(Normalisasi!$O$36-Konvergensi!$G$194;2);PANGKAT(Normalisasi!$P$36-Konvergensi!$H$194;2));0);JIKA(F175=1;JUMLAH(PANGKAT(Normalisasi!$J$36-Konvergensi!$B$195;2);PANGKAT(Normalisasi!$K$36-Konvergensi!$C$195;2);PANGKAT(Normalisasi!$L$36-Konvergensi!$D$195;2);PANGKAT(Normalisasi!$M$36-Konvergensi!$E$195;2);PANGKAT(Normalisasi!$N$36-Konvergensi!$F$195;2);PANGKAT(Normalisasi!$O$36-Konvergensi!$G$195;2);PANGKAT(Normalisasi!$P$36-Konvergensi!$H$195;2));0);JIKA(F175=2;JUMLAH(PANGKAT(Normalisasi!$J$36-Konvergensi!$B$196;2);PANGKAT(Normalisasi!$K$36-Konvergensi!$C$196;2);PANGKAT(Normalisasi!$L$36-Konvergensi!$D$196;2);PANGKAT(Normalisasi!$M$36-Konvergensi!$E$196;2);PANGKAT(Normalisasi!$N$36-Konvergensi!$F$196;2);PANGKAT(Normalisasi!$O$36-Konvergensi!$G$196;2);PANGKAT(Normalisasi!$P$36-Konvergensi!$H$196;2));0))</f>
        <v/>
      </c>
      <c r="H175" t="n">
        <v>0</v>
      </c>
      <c r="I175" t="n">
        <v>4.974779015406352</v>
      </c>
    </row>
    <row r="176">
      <c r="A176">
        <f>Data_Awal!A37</f>
        <v/>
      </c>
      <c r="B176">
        <f>Data_Awal!B37</f>
        <v/>
      </c>
      <c r="C176">
        <f>AKAR(JUMLAH(PANGKAT(Normalisasi!$J$37-Konvergensi!$B$129;2);PANGKAT(Normalisasi!$K$37-Konvergensi!$C$129;2);PANGKAT(Normalisasi!$L$37-Konvergensi!$D$129;2);PANGKAT(Normalisasi!$M$37-Konvergensi!$E$129;2);PANGKAT(Normalisasi!$N$37-Konvergensi!$F$129;2);PANGKAT(Normalisasi!$O$37-Konvergensi!$G$129;2);PANGKAT(Normalisasi!$P$37-Konvergensi!$H$129;2)))</f>
        <v/>
      </c>
      <c r="D176">
        <f>AKAR(JUMLAH(PANGKAT(Normalisasi!$J$37-Konvergensi!$B$130;2);PANGKAT(Normalisasi!$K$37-Konvergensi!$C$130;2);PANGKAT(Normalisasi!$L$37-Konvergensi!$D$130;2);PANGKAT(Normalisasi!$M$37-Konvergensi!$E$130;2);PANGKAT(Normalisasi!$N$37-Konvergensi!$F$130;2);PANGKAT(Normalisasi!$O$37-Konvergensi!$G$130;2);PANGKAT(Normalisasi!$P$37-Konvergensi!$H$130;2)))</f>
        <v/>
      </c>
      <c r="E176">
        <f>AKAR(JUMLAH(PANGKAT(Normalisasi!$J$37-Konvergensi!$B$131;2);PANGKAT(Normalisasi!$K$37-Konvergensi!$C$131;2);PANGKAT(Normalisasi!$L$37-Konvergensi!$D$131;2);PANGKAT(Normalisasi!$M$37-Konvergensi!$E$131;2);PANGKAT(Normalisasi!$N$37-Konvergensi!$F$131;2);PANGKAT(Normalisasi!$O$37-Konvergensi!$G$131;2);PANGKAT(Normalisasi!$P$37-Konvergensi!$H$131;2)))</f>
        <v/>
      </c>
      <c r="F176">
        <f>JIKA(C176&lt;=D176;=JIKA(C176&lt;=E176;0;2);=JIKA(D176&lt;=E176;1;2))</f>
        <v/>
      </c>
      <c r="G176">
        <f>JUMLAH(JIKA(F176=0;JUMLAH(PANGKAT(Normalisasi!$J$37-Konvergensi!$B$194;2);PANGKAT(Normalisasi!$K$37-Konvergensi!$C$194;2);PANGKAT(Normalisasi!$L$37-Konvergensi!$D$194;2);PANGKAT(Normalisasi!$M$37-Konvergensi!$E$194;2);PANGKAT(Normalisasi!$N$37-Konvergensi!$F$194;2);PANGKAT(Normalisasi!$O$37-Konvergensi!$G$194;2);PANGKAT(Normalisasi!$P$37-Konvergensi!$H$194;2));0);JIKA(F176=1;JUMLAH(PANGKAT(Normalisasi!$J$37-Konvergensi!$B$195;2);PANGKAT(Normalisasi!$K$37-Konvergensi!$C$195;2);PANGKAT(Normalisasi!$L$37-Konvergensi!$D$195;2);PANGKAT(Normalisasi!$M$37-Konvergensi!$E$195;2);PANGKAT(Normalisasi!$N$37-Konvergensi!$F$195;2);PANGKAT(Normalisasi!$O$37-Konvergensi!$G$195;2);PANGKAT(Normalisasi!$P$37-Konvergensi!$H$195;2));0);JIKA(F176=2;JUMLAH(PANGKAT(Normalisasi!$J$37-Konvergensi!$B$196;2);PANGKAT(Normalisasi!$K$37-Konvergensi!$C$196;2);PANGKAT(Normalisasi!$L$37-Konvergensi!$D$196;2);PANGKAT(Normalisasi!$M$37-Konvergensi!$E$196;2);PANGKAT(Normalisasi!$N$37-Konvergensi!$F$196;2);PANGKAT(Normalisasi!$O$37-Konvergensi!$G$196;2);PANGKAT(Normalisasi!$P$37-Konvergensi!$H$196;2));0))</f>
        <v/>
      </c>
      <c r="H176" t="n">
        <v>0</v>
      </c>
      <c r="I176" t="n">
        <v>5.772125615467579</v>
      </c>
    </row>
    <row r="177">
      <c r="A177">
        <f>Data_Awal!A38</f>
        <v/>
      </c>
      <c r="B177">
        <f>Data_Awal!B38</f>
        <v/>
      </c>
      <c r="C177">
        <f>AKAR(JUMLAH(PANGKAT(Normalisasi!$J$38-Konvergensi!$B$129;2);PANGKAT(Normalisasi!$K$38-Konvergensi!$C$129;2);PANGKAT(Normalisasi!$L$38-Konvergensi!$D$129;2);PANGKAT(Normalisasi!$M$38-Konvergensi!$E$129;2);PANGKAT(Normalisasi!$N$38-Konvergensi!$F$129;2);PANGKAT(Normalisasi!$O$38-Konvergensi!$G$129;2);PANGKAT(Normalisasi!$P$38-Konvergensi!$H$129;2)))</f>
        <v/>
      </c>
      <c r="D177">
        <f>AKAR(JUMLAH(PANGKAT(Normalisasi!$J$38-Konvergensi!$B$130;2);PANGKAT(Normalisasi!$K$38-Konvergensi!$C$130;2);PANGKAT(Normalisasi!$L$38-Konvergensi!$D$130;2);PANGKAT(Normalisasi!$M$38-Konvergensi!$E$130;2);PANGKAT(Normalisasi!$N$38-Konvergensi!$F$130;2);PANGKAT(Normalisasi!$O$38-Konvergensi!$G$130;2);PANGKAT(Normalisasi!$P$38-Konvergensi!$H$130;2)))</f>
        <v/>
      </c>
      <c r="E177">
        <f>AKAR(JUMLAH(PANGKAT(Normalisasi!$J$38-Konvergensi!$B$131;2);PANGKAT(Normalisasi!$K$38-Konvergensi!$C$131;2);PANGKAT(Normalisasi!$L$38-Konvergensi!$D$131;2);PANGKAT(Normalisasi!$M$38-Konvergensi!$E$131;2);PANGKAT(Normalisasi!$N$38-Konvergensi!$F$131;2);PANGKAT(Normalisasi!$O$38-Konvergensi!$G$131;2);PANGKAT(Normalisasi!$P$38-Konvergensi!$H$131;2)))</f>
        <v/>
      </c>
      <c r="F177">
        <f>JIKA(C177&lt;=D177;=JIKA(C177&lt;=E177;0;2);=JIKA(D177&lt;=E177;1;2))</f>
        <v/>
      </c>
      <c r="G177">
        <f>JUMLAH(JIKA(F177=0;JUMLAH(PANGKAT(Normalisasi!$J$38-Konvergensi!$B$194;2);PANGKAT(Normalisasi!$K$38-Konvergensi!$C$194;2);PANGKAT(Normalisasi!$L$38-Konvergensi!$D$194;2);PANGKAT(Normalisasi!$M$38-Konvergensi!$E$194;2);PANGKAT(Normalisasi!$N$38-Konvergensi!$F$194;2);PANGKAT(Normalisasi!$O$38-Konvergensi!$G$194;2);PANGKAT(Normalisasi!$P$38-Konvergensi!$H$194;2));0);JIKA(F177=1;JUMLAH(PANGKAT(Normalisasi!$J$38-Konvergensi!$B$195;2);PANGKAT(Normalisasi!$K$38-Konvergensi!$C$195;2);PANGKAT(Normalisasi!$L$38-Konvergensi!$D$195;2);PANGKAT(Normalisasi!$M$38-Konvergensi!$E$195;2);PANGKAT(Normalisasi!$N$38-Konvergensi!$F$195;2);PANGKAT(Normalisasi!$O$38-Konvergensi!$G$195;2);PANGKAT(Normalisasi!$P$38-Konvergensi!$H$195;2));0);JIKA(F177=2;JUMLAH(PANGKAT(Normalisasi!$J$38-Konvergensi!$B$196;2);PANGKAT(Normalisasi!$K$38-Konvergensi!$C$196;2);PANGKAT(Normalisasi!$L$38-Konvergensi!$D$196;2);PANGKAT(Normalisasi!$M$38-Konvergensi!$E$196;2);PANGKAT(Normalisasi!$N$38-Konvergensi!$F$196;2);PANGKAT(Normalisasi!$O$38-Konvergensi!$G$196;2);PANGKAT(Normalisasi!$P$38-Konvergensi!$H$196;2));0))</f>
        <v/>
      </c>
      <c r="H177" t="n">
        <v>1</v>
      </c>
      <c r="I177" t="n">
        <v>4.046573155424091</v>
      </c>
    </row>
    <row r="178">
      <c r="A178">
        <f>Data_Awal!A39</f>
        <v/>
      </c>
      <c r="B178">
        <f>Data_Awal!B39</f>
        <v/>
      </c>
      <c r="C178">
        <f>AKAR(JUMLAH(PANGKAT(Normalisasi!$J$39-Konvergensi!$B$129;2);PANGKAT(Normalisasi!$K$39-Konvergensi!$C$129;2);PANGKAT(Normalisasi!$L$39-Konvergensi!$D$129;2);PANGKAT(Normalisasi!$M$39-Konvergensi!$E$129;2);PANGKAT(Normalisasi!$N$39-Konvergensi!$F$129;2);PANGKAT(Normalisasi!$O$39-Konvergensi!$G$129;2);PANGKAT(Normalisasi!$P$39-Konvergensi!$H$129;2)))</f>
        <v/>
      </c>
      <c r="D178">
        <f>AKAR(JUMLAH(PANGKAT(Normalisasi!$J$39-Konvergensi!$B$130;2);PANGKAT(Normalisasi!$K$39-Konvergensi!$C$130;2);PANGKAT(Normalisasi!$L$39-Konvergensi!$D$130;2);PANGKAT(Normalisasi!$M$39-Konvergensi!$E$130;2);PANGKAT(Normalisasi!$N$39-Konvergensi!$F$130;2);PANGKAT(Normalisasi!$O$39-Konvergensi!$G$130;2);PANGKAT(Normalisasi!$P$39-Konvergensi!$H$130;2)))</f>
        <v/>
      </c>
      <c r="E178">
        <f>AKAR(JUMLAH(PANGKAT(Normalisasi!$J$39-Konvergensi!$B$131;2);PANGKAT(Normalisasi!$K$39-Konvergensi!$C$131;2);PANGKAT(Normalisasi!$L$39-Konvergensi!$D$131;2);PANGKAT(Normalisasi!$M$39-Konvergensi!$E$131;2);PANGKAT(Normalisasi!$N$39-Konvergensi!$F$131;2);PANGKAT(Normalisasi!$O$39-Konvergensi!$G$131;2);PANGKAT(Normalisasi!$P$39-Konvergensi!$H$131;2)))</f>
        <v/>
      </c>
      <c r="F178">
        <f>JIKA(C178&lt;=D178;=JIKA(C178&lt;=E178;0;2);=JIKA(D178&lt;=E178;1;2))</f>
        <v/>
      </c>
      <c r="G178">
        <f>JUMLAH(JIKA(F178=0;JUMLAH(PANGKAT(Normalisasi!$J$39-Konvergensi!$B$194;2);PANGKAT(Normalisasi!$K$39-Konvergensi!$C$194;2);PANGKAT(Normalisasi!$L$39-Konvergensi!$D$194;2);PANGKAT(Normalisasi!$M$39-Konvergensi!$E$194;2);PANGKAT(Normalisasi!$N$39-Konvergensi!$F$194;2);PANGKAT(Normalisasi!$O$39-Konvergensi!$G$194;2);PANGKAT(Normalisasi!$P$39-Konvergensi!$H$194;2));0);JIKA(F178=1;JUMLAH(PANGKAT(Normalisasi!$J$39-Konvergensi!$B$195;2);PANGKAT(Normalisasi!$K$39-Konvergensi!$C$195;2);PANGKAT(Normalisasi!$L$39-Konvergensi!$D$195;2);PANGKAT(Normalisasi!$M$39-Konvergensi!$E$195;2);PANGKAT(Normalisasi!$N$39-Konvergensi!$F$195;2);PANGKAT(Normalisasi!$O$39-Konvergensi!$G$195;2);PANGKAT(Normalisasi!$P$39-Konvergensi!$H$195;2));0);JIKA(F178=2;JUMLAH(PANGKAT(Normalisasi!$J$39-Konvergensi!$B$196;2);PANGKAT(Normalisasi!$K$39-Konvergensi!$C$196;2);PANGKAT(Normalisasi!$L$39-Konvergensi!$D$196;2);PANGKAT(Normalisasi!$M$39-Konvergensi!$E$196;2);PANGKAT(Normalisasi!$N$39-Konvergensi!$F$196;2);PANGKAT(Normalisasi!$O$39-Konvergensi!$G$196;2);PANGKAT(Normalisasi!$P$39-Konvergensi!$H$196;2));0))</f>
        <v/>
      </c>
      <c r="H178" t="n">
        <v>0</v>
      </c>
      <c r="I178" t="n">
        <v>10.00729905203943</v>
      </c>
    </row>
    <row r="179">
      <c r="A179">
        <f>Data_Awal!A40</f>
        <v/>
      </c>
      <c r="B179">
        <f>Data_Awal!B40</f>
        <v/>
      </c>
      <c r="C179">
        <f>AKAR(JUMLAH(PANGKAT(Normalisasi!$J$40-Konvergensi!$B$129;2);PANGKAT(Normalisasi!$K$40-Konvergensi!$C$129;2);PANGKAT(Normalisasi!$L$40-Konvergensi!$D$129;2);PANGKAT(Normalisasi!$M$40-Konvergensi!$E$129;2);PANGKAT(Normalisasi!$N$40-Konvergensi!$F$129;2);PANGKAT(Normalisasi!$O$40-Konvergensi!$G$129;2);PANGKAT(Normalisasi!$P$40-Konvergensi!$H$129;2)))</f>
        <v/>
      </c>
      <c r="D179">
        <f>AKAR(JUMLAH(PANGKAT(Normalisasi!$J$40-Konvergensi!$B$130;2);PANGKAT(Normalisasi!$K$40-Konvergensi!$C$130;2);PANGKAT(Normalisasi!$L$40-Konvergensi!$D$130;2);PANGKAT(Normalisasi!$M$40-Konvergensi!$E$130;2);PANGKAT(Normalisasi!$N$40-Konvergensi!$F$130;2);PANGKAT(Normalisasi!$O$40-Konvergensi!$G$130;2);PANGKAT(Normalisasi!$P$40-Konvergensi!$H$130;2)))</f>
        <v/>
      </c>
      <c r="E179">
        <f>AKAR(JUMLAH(PANGKAT(Normalisasi!$J$40-Konvergensi!$B$131;2);PANGKAT(Normalisasi!$K$40-Konvergensi!$C$131;2);PANGKAT(Normalisasi!$L$40-Konvergensi!$D$131;2);PANGKAT(Normalisasi!$M$40-Konvergensi!$E$131;2);PANGKAT(Normalisasi!$N$40-Konvergensi!$F$131;2);PANGKAT(Normalisasi!$O$40-Konvergensi!$G$131;2);PANGKAT(Normalisasi!$P$40-Konvergensi!$H$131;2)))</f>
        <v/>
      </c>
      <c r="F179">
        <f>JIKA(C179&lt;=D179;=JIKA(C179&lt;=E179;0;2);=JIKA(D179&lt;=E179;1;2))</f>
        <v/>
      </c>
      <c r="G179">
        <f>JUMLAH(JIKA(F179=0;JUMLAH(PANGKAT(Normalisasi!$J$40-Konvergensi!$B$194;2);PANGKAT(Normalisasi!$K$40-Konvergensi!$C$194;2);PANGKAT(Normalisasi!$L$40-Konvergensi!$D$194;2);PANGKAT(Normalisasi!$M$40-Konvergensi!$E$194;2);PANGKAT(Normalisasi!$N$40-Konvergensi!$F$194;2);PANGKAT(Normalisasi!$O$40-Konvergensi!$G$194;2);PANGKAT(Normalisasi!$P$40-Konvergensi!$H$194;2));0);JIKA(F179=1;JUMLAH(PANGKAT(Normalisasi!$J$40-Konvergensi!$B$195;2);PANGKAT(Normalisasi!$K$40-Konvergensi!$C$195;2);PANGKAT(Normalisasi!$L$40-Konvergensi!$D$195;2);PANGKAT(Normalisasi!$M$40-Konvergensi!$E$195;2);PANGKAT(Normalisasi!$N$40-Konvergensi!$F$195;2);PANGKAT(Normalisasi!$O$40-Konvergensi!$G$195;2);PANGKAT(Normalisasi!$P$40-Konvergensi!$H$195;2));0);JIKA(F179=2;JUMLAH(PANGKAT(Normalisasi!$J$40-Konvergensi!$B$196;2);PANGKAT(Normalisasi!$K$40-Konvergensi!$C$196;2);PANGKAT(Normalisasi!$L$40-Konvergensi!$D$196;2);PANGKAT(Normalisasi!$M$40-Konvergensi!$E$196;2);PANGKAT(Normalisasi!$N$40-Konvergensi!$F$196;2);PANGKAT(Normalisasi!$O$40-Konvergensi!$G$196;2);PANGKAT(Normalisasi!$P$40-Konvergensi!$H$196;2));0))</f>
        <v/>
      </c>
      <c r="H179" t="n">
        <v>1</v>
      </c>
      <c r="I179" t="n">
        <v>4.741221600312443</v>
      </c>
    </row>
    <row r="180">
      <c r="A180">
        <f>Data_Awal!A41</f>
        <v/>
      </c>
      <c r="B180">
        <f>Data_Awal!B41</f>
        <v/>
      </c>
      <c r="C180">
        <f>AKAR(JUMLAH(PANGKAT(Normalisasi!$J$41-Konvergensi!$B$129;2);PANGKAT(Normalisasi!$K$41-Konvergensi!$C$129;2);PANGKAT(Normalisasi!$L$41-Konvergensi!$D$129;2);PANGKAT(Normalisasi!$M$41-Konvergensi!$E$129;2);PANGKAT(Normalisasi!$N$41-Konvergensi!$F$129;2);PANGKAT(Normalisasi!$O$41-Konvergensi!$G$129;2);PANGKAT(Normalisasi!$P$41-Konvergensi!$H$129;2)))</f>
        <v/>
      </c>
      <c r="D180">
        <f>AKAR(JUMLAH(PANGKAT(Normalisasi!$J$41-Konvergensi!$B$130;2);PANGKAT(Normalisasi!$K$41-Konvergensi!$C$130;2);PANGKAT(Normalisasi!$L$41-Konvergensi!$D$130;2);PANGKAT(Normalisasi!$M$41-Konvergensi!$E$130;2);PANGKAT(Normalisasi!$N$41-Konvergensi!$F$130;2);PANGKAT(Normalisasi!$O$41-Konvergensi!$G$130;2);PANGKAT(Normalisasi!$P$41-Konvergensi!$H$130;2)))</f>
        <v/>
      </c>
      <c r="E180">
        <f>AKAR(JUMLAH(PANGKAT(Normalisasi!$J$41-Konvergensi!$B$131;2);PANGKAT(Normalisasi!$K$41-Konvergensi!$C$131;2);PANGKAT(Normalisasi!$L$41-Konvergensi!$D$131;2);PANGKAT(Normalisasi!$M$41-Konvergensi!$E$131;2);PANGKAT(Normalisasi!$N$41-Konvergensi!$F$131;2);PANGKAT(Normalisasi!$O$41-Konvergensi!$G$131;2);PANGKAT(Normalisasi!$P$41-Konvergensi!$H$131;2)))</f>
        <v/>
      </c>
      <c r="F180">
        <f>JIKA(C180&lt;=D180;=JIKA(C180&lt;=E180;0;2);=JIKA(D180&lt;=E180;1;2))</f>
        <v/>
      </c>
      <c r="G180">
        <f>JUMLAH(JIKA(F180=0;JUMLAH(PANGKAT(Normalisasi!$J$41-Konvergensi!$B$194;2);PANGKAT(Normalisasi!$K$41-Konvergensi!$C$194;2);PANGKAT(Normalisasi!$L$41-Konvergensi!$D$194;2);PANGKAT(Normalisasi!$M$41-Konvergensi!$E$194;2);PANGKAT(Normalisasi!$N$41-Konvergensi!$F$194;2);PANGKAT(Normalisasi!$O$41-Konvergensi!$G$194;2);PANGKAT(Normalisasi!$P$41-Konvergensi!$H$194;2));0);JIKA(F180=1;JUMLAH(PANGKAT(Normalisasi!$J$41-Konvergensi!$B$195;2);PANGKAT(Normalisasi!$K$41-Konvergensi!$C$195;2);PANGKAT(Normalisasi!$L$41-Konvergensi!$D$195;2);PANGKAT(Normalisasi!$M$41-Konvergensi!$E$195;2);PANGKAT(Normalisasi!$N$41-Konvergensi!$F$195;2);PANGKAT(Normalisasi!$O$41-Konvergensi!$G$195;2);PANGKAT(Normalisasi!$P$41-Konvergensi!$H$195;2));0);JIKA(F180=2;JUMLAH(PANGKAT(Normalisasi!$J$41-Konvergensi!$B$196;2);PANGKAT(Normalisasi!$K$41-Konvergensi!$C$196;2);PANGKAT(Normalisasi!$L$41-Konvergensi!$D$196;2);PANGKAT(Normalisasi!$M$41-Konvergensi!$E$196;2);PANGKAT(Normalisasi!$N$41-Konvergensi!$F$196;2);PANGKAT(Normalisasi!$O$41-Konvergensi!$G$196;2);PANGKAT(Normalisasi!$P$41-Konvergensi!$H$196;2));0))</f>
        <v/>
      </c>
      <c r="H180" t="n">
        <v>1</v>
      </c>
      <c r="I180" t="n">
        <v>7.305191963054995</v>
      </c>
    </row>
    <row r="181">
      <c r="A181">
        <f>Data_Awal!A42</f>
        <v/>
      </c>
      <c r="B181">
        <f>Data_Awal!B42</f>
        <v/>
      </c>
      <c r="C181">
        <f>AKAR(JUMLAH(PANGKAT(Normalisasi!$J$42-Konvergensi!$B$129;2);PANGKAT(Normalisasi!$K$42-Konvergensi!$C$129;2);PANGKAT(Normalisasi!$L$42-Konvergensi!$D$129;2);PANGKAT(Normalisasi!$M$42-Konvergensi!$E$129;2);PANGKAT(Normalisasi!$N$42-Konvergensi!$F$129;2);PANGKAT(Normalisasi!$O$42-Konvergensi!$G$129;2);PANGKAT(Normalisasi!$P$42-Konvergensi!$H$129;2)))</f>
        <v/>
      </c>
      <c r="D181">
        <f>AKAR(JUMLAH(PANGKAT(Normalisasi!$J$42-Konvergensi!$B$130;2);PANGKAT(Normalisasi!$K$42-Konvergensi!$C$130;2);PANGKAT(Normalisasi!$L$42-Konvergensi!$D$130;2);PANGKAT(Normalisasi!$M$42-Konvergensi!$E$130;2);PANGKAT(Normalisasi!$N$42-Konvergensi!$F$130;2);PANGKAT(Normalisasi!$O$42-Konvergensi!$G$130;2);PANGKAT(Normalisasi!$P$42-Konvergensi!$H$130;2)))</f>
        <v/>
      </c>
      <c r="E181">
        <f>AKAR(JUMLAH(PANGKAT(Normalisasi!$J$42-Konvergensi!$B$131;2);PANGKAT(Normalisasi!$K$42-Konvergensi!$C$131;2);PANGKAT(Normalisasi!$L$42-Konvergensi!$D$131;2);PANGKAT(Normalisasi!$M$42-Konvergensi!$E$131;2);PANGKAT(Normalisasi!$N$42-Konvergensi!$F$131;2);PANGKAT(Normalisasi!$O$42-Konvergensi!$G$131;2);PANGKAT(Normalisasi!$P$42-Konvergensi!$H$131;2)))</f>
        <v/>
      </c>
      <c r="F181">
        <f>JIKA(C181&lt;=D181;=JIKA(C181&lt;=E181;0;2);=JIKA(D181&lt;=E181;1;2))</f>
        <v/>
      </c>
      <c r="G181">
        <f>JUMLAH(JIKA(F181=0;JUMLAH(PANGKAT(Normalisasi!$J$42-Konvergensi!$B$194;2);PANGKAT(Normalisasi!$K$42-Konvergensi!$C$194;2);PANGKAT(Normalisasi!$L$42-Konvergensi!$D$194;2);PANGKAT(Normalisasi!$M$42-Konvergensi!$E$194;2);PANGKAT(Normalisasi!$N$42-Konvergensi!$F$194;2);PANGKAT(Normalisasi!$O$42-Konvergensi!$G$194;2);PANGKAT(Normalisasi!$P$42-Konvergensi!$H$194;2));0);JIKA(F181=1;JUMLAH(PANGKAT(Normalisasi!$J$42-Konvergensi!$B$195;2);PANGKAT(Normalisasi!$K$42-Konvergensi!$C$195;2);PANGKAT(Normalisasi!$L$42-Konvergensi!$D$195;2);PANGKAT(Normalisasi!$M$42-Konvergensi!$E$195;2);PANGKAT(Normalisasi!$N$42-Konvergensi!$F$195;2);PANGKAT(Normalisasi!$O$42-Konvergensi!$G$195;2);PANGKAT(Normalisasi!$P$42-Konvergensi!$H$195;2));0);JIKA(F181=2;JUMLAH(PANGKAT(Normalisasi!$J$42-Konvergensi!$B$196;2);PANGKAT(Normalisasi!$K$42-Konvergensi!$C$196;2);PANGKAT(Normalisasi!$L$42-Konvergensi!$D$196;2);PANGKAT(Normalisasi!$M$42-Konvergensi!$E$196;2);PANGKAT(Normalisasi!$N$42-Konvergensi!$F$196;2);PANGKAT(Normalisasi!$O$42-Konvergensi!$G$196;2);PANGKAT(Normalisasi!$P$42-Konvergensi!$H$196;2));0))</f>
        <v/>
      </c>
      <c r="H181" t="n">
        <v>0</v>
      </c>
      <c r="I181" t="n">
        <v>1.707263053002599</v>
      </c>
    </row>
    <row r="182">
      <c r="A182">
        <f>Data_Awal!A43</f>
        <v/>
      </c>
      <c r="B182">
        <f>Data_Awal!B43</f>
        <v/>
      </c>
      <c r="C182">
        <f>AKAR(JUMLAH(PANGKAT(Normalisasi!$J$43-Konvergensi!$B$129;2);PANGKAT(Normalisasi!$K$43-Konvergensi!$C$129;2);PANGKAT(Normalisasi!$L$43-Konvergensi!$D$129;2);PANGKAT(Normalisasi!$M$43-Konvergensi!$E$129;2);PANGKAT(Normalisasi!$N$43-Konvergensi!$F$129;2);PANGKAT(Normalisasi!$O$43-Konvergensi!$G$129;2);PANGKAT(Normalisasi!$P$43-Konvergensi!$H$129;2)))</f>
        <v/>
      </c>
      <c r="D182">
        <f>AKAR(JUMLAH(PANGKAT(Normalisasi!$J$43-Konvergensi!$B$130;2);PANGKAT(Normalisasi!$K$43-Konvergensi!$C$130;2);PANGKAT(Normalisasi!$L$43-Konvergensi!$D$130;2);PANGKAT(Normalisasi!$M$43-Konvergensi!$E$130;2);PANGKAT(Normalisasi!$N$43-Konvergensi!$F$130;2);PANGKAT(Normalisasi!$O$43-Konvergensi!$G$130;2);PANGKAT(Normalisasi!$P$43-Konvergensi!$H$130;2)))</f>
        <v/>
      </c>
      <c r="E182">
        <f>AKAR(JUMLAH(PANGKAT(Normalisasi!$J$43-Konvergensi!$B$131;2);PANGKAT(Normalisasi!$K$43-Konvergensi!$C$131;2);PANGKAT(Normalisasi!$L$43-Konvergensi!$D$131;2);PANGKAT(Normalisasi!$M$43-Konvergensi!$E$131;2);PANGKAT(Normalisasi!$N$43-Konvergensi!$F$131;2);PANGKAT(Normalisasi!$O$43-Konvergensi!$G$131;2);PANGKAT(Normalisasi!$P$43-Konvergensi!$H$131;2)))</f>
        <v/>
      </c>
      <c r="F182">
        <f>JIKA(C182&lt;=D182;=JIKA(C182&lt;=E182;0;2);=JIKA(D182&lt;=E182;1;2))</f>
        <v/>
      </c>
      <c r="G182">
        <f>JUMLAH(JIKA(F182=0;JUMLAH(PANGKAT(Normalisasi!$J$43-Konvergensi!$B$194;2);PANGKAT(Normalisasi!$K$43-Konvergensi!$C$194;2);PANGKAT(Normalisasi!$L$43-Konvergensi!$D$194;2);PANGKAT(Normalisasi!$M$43-Konvergensi!$E$194;2);PANGKAT(Normalisasi!$N$43-Konvergensi!$F$194;2);PANGKAT(Normalisasi!$O$43-Konvergensi!$G$194;2);PANGKAT(Normalisasi!$P$43-Konvergensi!$H$194;2));0);JIKA(F182=1;JUMLAH(PANGKAT(Normalisasi!$J$43-Konvergensi!$B$195;2);PANGKAT(Normalisasi!$K$43-Konvergensi!$C$195;2);PANGKAT(Normalisasi!$L$43-Konvergensi!$D$195;2);PANGKAT(Normalisasi!$M$43-Konvergensi!$E$195;2);PANGKAT(Normalisasi!$N$43-Konvergensi!$F$195;2);PANGKAT(Normalisasi!$O$43-Konvergensi!$G$195;2);PANGKAT(Normalisasi!$P$43-Konvergensi!$H$195;2));0);JIKA(F182=2;JUMLAH(PANGKAT(Normalisasi!$J$43-Konvergensi!$B$196;2);PANGKAT(Normalisasi!$K$43-Konvergensi!$C$196;2);PANGKAT(Normalisasi!$L$43-Konvergensi!$D$196;2);PANGKAT(Normalisasi!$M$43-Konvergensi!$E$196;2);PANGKAT(Normalisasi!$N$43-Konvergensi!$F$196;2);PANGKAT(Normalisasi!$O$43-Konvergensi!$G$196;2);PANGKAT(Normalisasi!$P$43-Konvergensi!$H$196;2));0))</f>
        <v/>
      </c>
      <c r="H182" t="n">
        <v>2</v>
      </c>
      <c r="I182" t="n">
        <v>4.485952531363756</v>
      </c>
    </row>
    <row r="183">
      <c r="A183">
        <f>Data_Awal!A44</f>
        <v/>
      </c>
      <c r="B183">
        <f>Data_Awal!B44</f>
        <v/>
      </c>
      <c r="C183">
        <f>AKAR(JUMLAH(PANGKAT(Normalisasi!$J$44-Konvergensi!$B$129;2);PANGKAT(Normalisasi!$K$44-Konvergensi!$C$129;2);PANGKAT(Normalisasi!$L$44-Konvergensi!$D$129;2);PANGKAT(Normalisasi!$M$44-Konvergensi!$E$129;2);PANGKAT(Normalisasi!$N$44-Konvergensi!$F$129;2);PANGKAT(Normalisasi!$O$44-Konvergensi!$G$129;2);PANGKAT(Normalisasi!$P$44-Konvergensi!$H$129;2)))</f>
        <v/>
      </c>
      <c r="D183">
        <f>AKAR(JUMLAH(PANGKAT(Normalisasi!$J$44-Konvergensi!$B$130;2);PANGKAT(Normalisasi!$K$44-Konvergensi!$C$130;2);PANGKAT(Normalisasi!$L$44-Konvergensi!$D$130;2);PANGKAT(Normalisasi!$M$44-Konvergensi!$E$130;2);PANGKAT(Normalisasi!$N$44-Konvergensi!$F$130;2);PANGKAT(Normalisasi!$O$44-Konvergensi!$G$130;2);PANGKAT(Normalisasi!$P$44-Konvergensi!$H$130;2)))</f>
        <v/>
      </c>
      <c r="E183">
        <f>AKAR(JUMLAH(PANGKAT(Normalisasi!$J$44-Konvergensi!$B$131;2);PANGKAT(Normalisasi!$K$44-Konvergensi!$C$131;2);PANGKAT(Normalisasi!$L$44-Konvergensi!$D$131;2);PANGKAT(Normalisasi!$M$44-Konvergensi!$E$131;2);PANGKAT(Normalisasi!$N$44-Konvergensi!$F$131;2);PANGKAT(Normalisasi!$O$44-Konvergensi!$G$131;2);PANGKAT(Normalisasi!$P$44-Konvergensi!$H$131;2)))</f>
        <v/>
      </c>
      <c r="F183">
        <f>JIKA(C183&lt;=D183;=JIKA(C183&lt;=E183;0;2);=JIKA(D183&lt;=E183;1;2))</f>
        <v/>
      </c>
      <c r="G183">
        <f>JUMLAH(JIKA(F183=0;JUMLAH(PANGKAT(Normalisasi!$J$44-Konvergensi!$B$194;2);PANGKAT(Normalisasi!$K$44-Konvergensi!$C$194;2);PANGKAT(Normalisasi!$L$44-Konvergensi!$D$194;2);PANGKAT(Normalisasi!$M$44-Konvergensi!$E$194;2);PANGKAT(Normalisasi!$N$44-Konvergensi!$F$194;2);PANGKAT(Normalisasi!$O$44-Konvergensi!$G$194;2);PANGKAT(Normalisasi!$P$44-Konvergensi!$H$194;2));0);JIKA(F183=1;JUMLAH(PANGKAT(Normalisasi!$J$44-Konvergensi!$B$195;2);PANGKAT(Normalisasi!$K$44-Konvergensi!$C$195;2);PANGKAT(Normalisasi!$L$44-Konvergensi!$D$195;2);PANGKAT(Normalisasi!$M$44-Konvergensi!$E$195;2);PANGKAT(Normalisasi!$N$44-Konvergensi!$F$195;2);PANGKAT(Normalisasi!$O$44-Konvergensi!$G$195;2);PANGKAT(Normalisasi!$P$44-Konvergensi!$H$195;2));0);JIKA(F183=2;JUMLAH(PANGKAT(Normalisasi!$J$44-Konvergensi!$B$196;2);PANGKAT(Normalisasi!$K$44-Konvergensi!$C$196;2);PANGKAT(Normalisasi!$L$44-Konvergensi!$D$196;2);PANGKAT(Normalisasi!$M$44-Konvergensi!$E$196;2);PANGKAT(Normalisasi!$N$44-Konvergensi!$F$196;2);PANGKAT(Normalisasi!$O$44-Konvergensi!$G$196;2);PANGKAT(Normalisasi!$P$44-Konvergensi!$H$196;2));0))</f>
        <v/>
      </c>
      <c r="H183" t="n">
        <v>0</v>
      </c>
      <c r="I183" t="n">
        <v>3.999357906632671</v>
      </c>
    </row>
    <row r="184">
      <c r="A184">
        <f>Data_Awal!A45</f>
        <v/>
      </c>
      <c r="B184">
        <f>Data_Awal!B45</f>
        <v/>
      </c>
      <c r="C184">
        <f>AKAR(JUMLAH(PANGKAT(Normalisasi!$J$45-Konvergensi!$B$129;2);PANGKAT(Normalisasi!$K$45-Konvergensi!$C$129;2);PANGKAT(Normalisasi!$L$45-Konvergensi!$D$129;2);PANGKAT(Normalisasi!$M$45-Konvergensi!$E$129;2);PANGKAT(Normalisasi!$N$45-Konvergensi!$F$129;2);PANGKAT(Normalisasi!$O$45-Konvergensi!$G$129;2);PANGKAT(Normalisasi!$P$45-Konvergensi!$H$129;2)))</f>
        <v/>
      </c>
      <c r="D184">
        <f>AKAR(JUMLAH(PANGKAT(Normalisasi!$J$45-Konvergensi!$B$130;2);PANGKAT(Normalisasi!$K$45-Konvergensi!$C$130;2);PANGKAT(Normalisasi!$L$45-Konvergensi!$D$130;2);PANGKAT(Normalisasi!$M$45-Konvergensi!$E$130;2);PANGKAT(Normalisasi!$N$45-Konvergensi!$F$130;2);PANGKAT(Normalisasi!$O$45-Konvergensi!$G$130;2);PANGKAT(Normalisasi!$P$45-Konvergensi!$H$130;2)))</f>
        <v/>
      </c>
      <c r="E184">
        <f>AKAR(JUMLAH(PANGKAT(Normalisasi!$J$45-Konvergensi!$B$131;2);PANGKAT(Normalisasi!$K$45-Konvergensi!$C$131;2);PANGKAT(Normalisasi!$L$45-Konvergensi!$D$131;2);PANGKAT(Normalisasi!$M$45-Konvergensi!$E$131;2);PANGKAT(Normalisasi!$N$45-Konvergensi!$F$131;2);PANGKAT(Normalisasi!$O$45-Konvergensi!$G$131;2);PANGKAT(Normalisasi!$P$45-Konvergensi!$H$131;2)))</f>
        <v/>
      </c>
      <c r="F184">
        <f>JIKA(C184&lt;=D184;=JIKA(C184&lt;=E184;0;2);=JIKA(D184&lt;=E184;1;2))</f>
        <v/>
      </c>
      <c r="G184">
        <f>JUMLAH(JIKA(F184=0;JUMLAH(PANGKAT(Normalisasi!$J$45-Konvergensi!$B$194;2);PANGKAT(Normalisasi!$K$45-Konvergensi!$C$194;2);PANGKAT(Normalisasi!$L$45-Konvergensi!$D$194;2);PANGKAT(Normalisasi!$M$45-Konvergensi!$E$194;2);PANGKAT(Normalisasi!$N$45-Konvergensi!$F$194;2);PANGKAT(Normalisasi!$O$45-Konvergensi!$G$194;2);PANGKAT(Normalisasi!$P$45-Konvergensi!$H$194;2));0);JIKA(F184=1;JUMLAH(PANGKAT(Normalisasi!$J$45-Konvergensi!$B$195;2);PANGKAT(Normalisasi!$K$45-Konvergensi!$C$195;2);PANGKAT(Normalisasi!$L$45-Konvergensi!$D$195;2);PANGKAT(Normalisasi!$M$45-Konvergensi!$E$195;2);PANGKAT(Normalisasi!$N$45-Konvergensi!$F$195;2);PANGKAT(Normalisasi!$O$45-Konvergensi!$G$195;2);PANGKAT(Normalisasi!$P$45-Konvergensi!$H$195;2));0);JIKA(F184=2;JUMLAH(PANGKAT(Normalisasi!$J$45-Konvergensi!$B$196;2);PANGKAT(Normalisasi!$K$45-Konvergensi!$C$196;2);PANGKAT(Normalisasi!$L$45-Konvergensi!$D$196;2);PANGKAT(Normalisasi!$M$45-Konvergensi!$E$196;2);PANGKAT(Normalisasi!$N$45-Konvergensi!$F$196;2);PANGKAT(Normalisasi!$O$45-Konvergensi!$G$196;2);PANGKAT(Normalisasi!$P$45-Konvergensi!$H$196;2));0))</f>
        <v/>
      </c>
      <c r="H184" t="n">
        <v>0</v>
      </c>
      <c r="I184" t="n">
        <v>7.451410229450018</v>
      </c>
    </row>
    <row r="185">
      <c r="A185">
        <f>Data_Awal!A46</f>
        <v/>
      </c>
      <c r="B185">
        <f>Data_Awal!B46</f>
        <v/>
      </c>
      <c r="C185">
        <f>AKAR(JUMLAH(PANGKAT(Normalisasi!$J$46-Konvergensi!$B$129;2);PANGKAT(Normalisasi!$K$46-Konvergensi!$C$129;2);PANGKAT(Normalisasi!$L$46-Konvergensi!$D$129;2);PANGKAT(Normalisasi!$M$46-Konvergensi!$E$129;2);PANGKAT(Normalisasi!$N$46-Konvergensi!$F$129;2);PANGKAT(Normalisasi!$O$46-Konvergensi!$G$129;2);PANGKAT(Normalisasi!$P$46-Konvergensi!$H$129;2)))</f>
        <v/>
      </c>
      <c r="D185">
        <f>AKAR(JUMLAH(PANGKAT(Normalisasi!$J$46-Konvergensi!$B$130;2);PANGKAT(Normalisasi!$K$46-Konvergensi!$C$130;2);PANGKAT(Normalisasi!$L$46-Konvergensi!$D$130;2);PANGKAT(Normalisasi!$M$46-Konvergensi!$E$130;2);PANGKAT(Normalisasi!$N$46-Konvergensi!$F$130;2);PANGKAT(Normalisasi!$O$46-Konvergensi!$G$130;2);PANGKAT(Normalisasi!$P$46-Konvergensi!$H$130;2)))</f>
        <v/>
      </c>
      <c r="E185">
        <f>AKAR(JUMLAH(PANGKAT(Normalisasi!$J$46-Konvergensi!$B$131;2);PANGKAT(Normalisasi!$K$46-Konvergensi!$C$131;2);PANGKAT(Normalisasi!$L$46-Konvergensi!$D$131;2);PANGKAT(Normalisasi!$M$46-Konvergensi!$E$131;2);PANGKAT(Normalisasi!$N$46-Konvergensi!$F$131;2);PANGKAT(Normalisasi!$O$46-Konvergensi!$G$131;2);PANGKAT(Normalisasi!$P$46-Konvergensi!$H$131;2)))</f>
        <v/>
      </c>
      <c r="F185">
        <f>JIKA(C185&lt;=D185;=JIKA(C185&lt;=E185;0;2);=JIKA(D185&lt;=E185;1;2))</f>
        <v/>
      </c>
      <c r="G185">
        <f>JUMLAH(JIKA(F185=0;JUMLAH(PANGKAT(Normalisasi!$J$46-Konvergensi!$B$194;2);PANGKAT(Normalisasi!$K$46-Konvergensi!$C$194;2);PANGKAT(Normalisasi!$L$46-Konvergensi!$D$194;2);PANGKAT(Normalisasi!$M$46-Konvergensi!$E$194;2);PANGKAT(Normalisasi!$N$46-Konvergensi!$F$194;2);PANGKAT(Normalisasi!$O$46-Konvergensi!$G$194;2);PANGKAT(Normalisasi!$P$46-Konvergensi!$H$194;2));0);JIKA(F185=1;JUMLAH(PANGKAT(Normalisasi!$J$46-Konvergensi!$B$195;2);PANGKAT(Normalisasi!$K$46-Konvergensi!$C$195;2);PANGKAT(Normalisasi!$L$46-Konvergensi!$D$195;2);PANGKAT(Normalisasi!$M$46-Konvergensi!$E$195;2);PANGKAT(Normalisasi!$N$46-Konvergensi!$F$195;2);PANGKAT(Normalisasi!$O$46-Konvergensi!$G$195;2);PANGKAT(Normalisasi!$P$46-Konvergensi!$H$195;2));0);JIKA(F185=2;JUMLAH(PANGKAT(Normalisasi!$J$46-Konvergensi!$B$196;2);PANGKAT(Normalisasi!$K$46-Konvergensi!$C$196;2);PANGKAT(Normalisasi!$L$46-Konvergensi!$D$196;2);PANGKAT(Normalisasi!$M$46-Konvergensi!$E$196;2);PANGKAT(Normalisasi!$N$46-Konvergensi!$F$196;2);PANGKAT(Normalisasi!$O$46-Konvergensi!$G$196;2);PANGKAT(Normalisasi!$P$46-Konvergensi!$H$196;2));0))</f>
        <v/>
      </c>
      <c r="H185" t="n">
        <v>2</v>
      </c>
      <c r="I185" t="n">
        <v>5.082888278438227</v>
      </c>
    </row>
    <row r="186">
      <c r="A186">
        <f>Data_Awal!A47</f>
        <v/>
      </c>
      <c r="B186">
        <f>Data_Awal!B47</f>
        <v/>
      </c>
      <c r="C186">
        <f>AKAR(JUMLAH(PANGKAT(Normalisasi!$J$47-Konvergensi!$B$129;2);PANGKAT(Normalisasi!$K$47-Konvergensi!$C$129;2);PANGKAT(Normalisasi!$L$47-Konvergensi!$D$129;2);PANGKAT(Normalisasi!$M$47-Konvergensi!$E$129;2);PANGKAT(Normalisasi!$N$47-Konvergensi!$F$129;2);PANGKAT(Normalisasi!$O$47-Konvergensi!$G$129;2);PANGKAT(Normalisasi!$P$47-Konvergensi!$H$129;2)))</f>
        <v/>
      </c>
      <c r="D186">
        <f>AKAR(JUMLAH(PANGKAT(Normalisasi!$J$47-Konvergensi!$B$130;2);PANGKAT(Normalisasi!$K$47-Konvergensi!$C$130;2);PANGKAT(Normalisasi!$L$47-Konvergensi!$D$130;2);PANGKAT(Normalisasi!$M$47-Konvergensi!$E$130;2);PANGKAT(Normalisasi!$N$47-Konvergensi!$F$130;2);PANGKAT(Normalisasi!$O$47-Konvergensi!$G$130;2);PANGKAT(Normalisasi!$P$47-Konvergensi!$H$130;2)))</f>
        <v/>
      </c>
      <c r="E186">
        <f>AKAR(JUMLAH(PANGKAT(Normalisasi!$J$47-Konvergensi!$B$131;2);PANGKAT(Normalisasi!$K$47-Konvergensi!$C$131;2);PANGKAT(Normalisasi!$L$47-Konvergensi!$D$131;2);PANGKAT(Normalisasi!$M$47-Konvergensi!$E$131;2);PANGKAT(Normalisasi!$N$47-Konvergensi!$F$131;2);PANGKAT(Normalisasi!$O$47-Konvergensi!$G$131;2);PANGKAT(Normalisasi!$P$47-Konvergensi!$H$131;2)))</f>
        <v/>
      </c>
      <c r="F186">
        <f>JIKA(C186&lt;=D186;=JIKA(C186&lt;=E186;0;2);=JIKA(D186&lt;=E186;1;2))</f>
        <v/>
      </c>
      <c r="G186">
        <f>JUMLAH(JIKA(F186=0;JUMLAH(PANGKAT(Normalisasi!$J$47-Konvergensi!$B$194;2);PANGKAT(Normalisasi!$K$47-Konvergensi!$C$194;2);PANGKAT(Normalisasi!$L$47-Konvergensi!$D$194;2);PANGKAT(Normalisasi!$M$47-Konvergensi!$E$194;2);PANGKAT(Normalisasi!$N$47-Konvergensi!$F$194;2);PANGKAT(Normalisasi!$O$47-Konvergensi!$G$194;2);PANGKAT(Normalisasi!$P$47-Konvergensi!$H$194;2));0);JIKA(F186=1;JUMLAH(PANGKAT(Normalisasi!$J$47-Konvergensi!$B$195;2);PANGKAT(Normalisasi!$K$47-Konvergensi!$C$195;2);PANGKAT(Normalisasi!$L$47-Konvergensi!$D$195;2);PANGKAT(Normalisasi!$M$47-Konvergensi!$E$195;2);PANGKAT(Normalisasi!$N$47-Konvergensi!$F$195;2);PANGKAT(Normalisasi!$O$47-Konvergensi!$G$195;2);PANGKAT(Normalisasi!$P$47-Konvergensi!$H$195;2));0);JIKA(F186=2;JUMLAH(PANGKAT(Normalisasi!$J$47-Konvergensi!$B$196;2);PANGKAT(Normalisasi!$K$47-Konvergensi!$C$196;2);PANGKAT(Normalisasi!$L$47-Konvergensi!$D$196;2);PANGKAT(Normalisasi!$M$47-Konvergensi!$E$196;2);PANGKAT(Normalisasi!$N$47-Konvergensi!$F$196;2);PANGKAT(Normalisasi!$O$47-Konvergensi!$G$196;2);PANGKAT(Normalisasi!$P$47-Konvergensi!$H$196;2));0))</f>
        <v/>
      </c>
      <c r="H186" t="n">
        <v>2</v>
      </c>
      <c r="I186" t="n">
        <v>1.729826429474062</v>
      </c>
    </row>
    <row r="187">
      <c r="A187">
        <f>Data_Awal!A48</f>
        <v/>
      </c>
      <c r="B187">
        <f>Data_Awal!B48</f>
        <v/>
      </c>
      <c r="C187">
        <f>AKAR(JUMLAH(PANGKAT(Normalisasi!$J$48-Konvergensi!$B$129;2);PANGKAT(Normalisasi!$K$48-Konvergensi!$C$129;2);PANGKAT(Normalisasi!$L$48-Konvergensi!$D$129;2);PANGKAT(Normalisasi!$M$48-Konvergensi!$E$129;2);PANGKAT(Normalisasi!$N$48-Konvergensi!$F$129;2);PANGKAT(Normalisasi!$O$48-Konvergensi!$G$129;2);PANGKAT(Normalisasi!$P$48-Konvergensi!$H$129;2)))</f>
        <v/>
      </c>
      <c r="D187">
        <f>AKAR(JUMLAH(PANGKAT(Normalisasi!$J$48-Konvergensi!$B$130;2);PANGKAT(Normalisasi!$K$48-Konvergensi!$C$130;2);PANGKAT(Normalisasi!$L$48-Konvergensi!$D$130;2);PANGKAT(Normalisasi!$M$48-Konvergensi!$E$130;2);PANGKAT(Normalisasi!$N$48-Konvergensi!$F$130;2);PANGKAT(Normalisasi!$O$48-Konvergensi!$G$130;2);PANGKAT(Normalisasi!$P$48-Konvergensi!$H$130;2)))</f>
        <v/>
      </c>
      <c r="E187">
        <f>AKAR(JUMLAH(PANGKAT(Normalisasi!$J$48-Konvergensi!$B$131;2);PANGKAT(Normalisasi!$K$48-Konvergensi!$C$131;2);PANGKAT(Normalisasi!$L$48-Konvergensi!$D$131;2);PANGKAT(Normalisasi!$M$48-Konvergensi!$E$131;2);PANGKAT(Normalisasi!$N$48-Konvergensi!$F$131;2);PANGKAT(Normalisasi!$O$48-Konvergensi!$G$131;2);PANGKAT(Normalisasi!$P$48-Konvergensi!$H$131;2)))</f>
        <v/>
      </c>
      <c r="F187">
        <f>JIKA(C187&lt;=D187;=JIKA(C187&lt;=E187;0;2);=JIKA(D187&lt;=E187;1;2))</f>
        <v/>
      </c>
      <c r="G187">
        <f>JUMLAH(JIKA(F187=0;JUMLAH(PANGKAT(Normalisasi!$J$48-Konvergensi!$B$194;2);PANGKAT(Normalisasi!$K$48-Konvergensi!$C$194;2);PANGKAT(Normalisasi!$L$48-Konvergensi!$D$194;2);PANGKAT(Normalisasi!$M$48-Konvergensi!$E$194;2);PANGKAT(Normalisasi!$N$48-Konvergensi!$F$194;2);PANGKAT(Normalisasi!$O$48-Konvergensi!$G$194;2);PANGKAT(Normalisasi!$P$48-Konvergensi!$H$194;2));0);JIKA(F187=1;JUMLAH(PANGKAT(Normalisasi!$J$48-Konvergensi!$B$195;2);PANGKAT(Normalisasi!$K$48-Konvergensi!$C$195;2);PANGKAT(Normalisasi!$L$48-Konvergensi!$D$195;2);PANGKAT(Normalisasi!$M$48-Konvergensi!$E$195;2);PANGKAT(Normalisasi!$N$48-Konvergensi!$F$195;2);PANGKAT(Normalisasi!$O$48-Konvergensi!$G$195;2);PANGKAT(Normalisasi!$P$48-Konvergensi!$H$195;2));0);JIKA(F187=2;JUMLAH(PANGKAT(Normalisasi!$J$48-Konvergensi!$B$196;2);PANGKAT(Normalisasi!$K$48-Konvergensi!$C$196;2);PANGKAT(Normalisasi!$L$48-Konvergensi!$D$196;2);PANGKAT(Normalisasi!$M$48-Konvergensi!$E$196;2);PANGKAT(Normalisasi!$N$48-Konvergensi!$F$196;2);PANGKAT(Normalisasi!$O$48-Konvergensi!$G$196;2);PANGKAT(Normalisasi!$P$48-Konvergensi!$H$196;2));0))</f>
        <v/>
      </c>
      <c r="H187" t="n">
        <v>1</v>
      </c>
      <c r="I187" t="n">
        <v>2.515310562387401</v>
      </c>
    </row>
    <row r="188">
      <c r="A188">
        <f>Data_Awal!A49</f>
        <v/>
      </c>
      <c r="B188">
        <f>Data_Awal!B49</f>
        <v/>
      </c>
      <c r="C188">
        <f>AKAR(JUMLAH(PANGKAT(Normalisasi!$J$49-Konvergensi!$B$129;2);PANGKAT(Normalisasi!$K$49-Konvergensi!$C$129;2);PANGKAT(Normalisasi!$L$49-Konvergensi!$D$129;2);PANGKAT(Normalisasi!$M$49-Konvergensi!$E$129;2);PANGKAT(Normalisasi!$N$49-Konvergensi!$F$129;2);PANGKAT(Normalisasi!$O$49-Konvergensi!$G$129;2);PANGKAT(Normalisasi!$P$49-Konvergensi!$H$129;2)))</f>
        <v/>
      </c>
      <c r="D188">
        <f>AKAR(JUMLAH(PANGKAT(Normalisasi!$J$49-Konvergensi!$B$130;2);PANGKAT(Normalisasi!$K$49-Konvergensi!$C$130;2);PANGKAT(Normalisasi!$L$49-Konvergensi!$D$130;2);PANGKAT(Normalisasi!$M$49-Konvergensi!$E$130;2);PANGKAT(Normalisasi!$N$49-Konvergensi!$F$130;2);PANGKAT(Normalisasi!$O$49-Konvergensi!$G$130;2);PANGKAT(Normalisasi!$P$49-Konvergensi!$H$130;2)))</f>
        <v/>
      </c>
      <c r="E188">
        <f>AKAR(JUMLAH(PANGKAT(Normalisasi!$J$49-Konvergensi!$B$131;2);PANGKAT(Normalisasi!$K$49-Konvergensi!$C$131;2);PANGKAT(Normalisasi!$L$49-Konvergensi!$D$131;2);PANGKAT(Normalisasi!$M$49-Konvergensi!$E$131;2);PANGKAT(Normalisasi!$N$49-Konvergensi!$F$131;2);PANGKAT(Normalisasi!$O$49-Konvergensi!$G$131;2);PANGKAT(Normalisasi!$P$49-Konvergensi!$H$131;2)))</f>
        <v/>
      </c>
      <c r="F188">
        <f>JIKA(C188&lt;=D188;=JIKA(C188&lt;=E188;0;2);=JIKA(D188&lt;=E188;1;2))</f>
        <v/>
      </c>
      <c r="G188">
        <f>JUMLAH(JIKA(F188=0;JUMLAH(PANGKAT(Normalisasi!$J$49-Konvergensi!$B$194;2);PANGKAT(Normalisasi!$K$49-Konvergensi!$C$194;2);PANGKAT(Normalisasi!$L$49-Konvergensi!$D$194;2);PANGKAT(Normalisasi!$M$49-Konvergensi!$E$194;2);PANGKAT(Normalisasi!$N$49-Konvergensi!$F$194;2);PANGKAT(Normalisasi!$O$49-Konvergensi!$G$194;2);PANGKAT(Normalisasi!$P$49-Konvergensi!$H$194;2));0);JIKA(F188=1;JUMLAH(PANGKAT(Normalisasi!$J$49-Konvergensi!$B$195;2);PANGKAT(Normalisasi!$K$49-Konvergensi!$C$195;2);PANGKAT(Normalisasi!$L$49-Konvergensi!$D$195;2);PANGKAT(Normalisasi!$M$49-Konvergensi!$E$195;2);PANGKAT(Normalisasi!$N$49-Konvergensi!$F$195;2);PANGKAT(Normalisasi!$O$49-Konvergensi!$G$195;2);PANGKAT(Normalisasi!$P$49-Konvergensi!$H$195;2));0);JIKA(F188=2;JUMLAH(PANGKAT(Normalisasi!$J$49-Konvergensi!$B$196;2);PANGKAT(Normalisasi!$K$49-Konvergensi!$C$196;2);PANGKAT(Normalisasi!$L$49-Konvergensi!$D$196;2);PANGKAT(Normalisasi!$M$49-Konvergensi!$E$196;2);PANGKAT(Normalisasi!$N$49-Konvergensi!$F$196;2);PANGKAT(Normalisasi!$O$49-Konvergensi!$G$196;2);PANGKAT(Normalisasi!$P$49-Konvergensi!$H$196;2));0))</f>
        <v/>
      </c>
      <c r="H188" t="n">
        <v>0</v>
      </c>
      <c r="I188" t="n">
        <v>2.899817995345944</v>
      </c>
    </row>
    <row r="189">
      <c r="A189">
        <f>Data_Awal!A50</f>
        <v/>
      </c>
      <c r="B189">
        <f>Data_Awal!B50</f>
        <v/>
      </c>
      <c r="C189">
        <f>AKAR(JUMLAH(PANGKAT(Normalisasi!$J$50-Konvergensi!$B$129;2);PANGKAT(Normalisasi!$K$50-Konvergensi!$C$129;2);PANGKAT(Normalisasi!$L$50-Konvergensi!$D$129;2);PANGKAT(Normalisasi!$M$50-Konvergensi!$E$129;2);PANGKAT(Normalisasi!$N$50-Konvergensi!$F$129;2);PANGKAT(Normalisasi!$O$50-Konvergensi!$G$129;2);PANGKAT(Normalisasi!$P$50-Konvergensi!$H$129;2)))</f>
        <v/>
      </c>
      <c r="D189">
        <f>AKAR(JUMLAH(PANGKAT(Normalisasi!$J$50-Konvergensi!$B$130;2);PANGKAT(Normalisasi!$K$50-Konvergensi!$C$130;2);PANGKAT(Normalisasi!$L$50-Konvergensi!$D$130;2);PANGKAT(Normalisasi!$M$50-Konvergensi!$E$130;2);PANGKAT(Normalisasi!$N$50-Konvergensi!$F$130;2);PANGKAT(Normalisasi!$O$50-Konvergensi!$G$130;2);PANGKAT(Normalisasi!$P$50-Konvergensi!$H$130;2)))</f>
        <v/>
      </c>
      <c r="E189">
        <f>AKAR(JUMLAH(PANGKAT(Normalisasi!$J$50-Konvergensi!$B$131;2);PANGKAT(Normalisasi!$K$50-Konvergensi!$C$131;2);PANGKAT(Normalisasi!$L$50-Konvergensi!$D$131;2);PANGKAT(Normalisasi!$M$50-Konvergensi!$E$131;2);PANGKAT(Normalisasi!$N$50-Konvergensi!$F$131;2);PANGKAT(Normalisasi!$O$50-Konvergensi!$G$131;2);PANGKAT(Normalisasi!$P$50-Konvergensi!$H$131;2)))</f>
        <v/>
      </c>
      <c r="F189">
        <f>JIKA(C189&lt;=D189;=JIKA(C189&lt;=E189;0;2);=JIKA(D189&lt;=E189;1;2))</f>
        <v/>
      </c>
      <c r="G189">
        <f>JUMLAH(JIKA(F189=0;JUMLAH(PANGKAT(Normalisasi!$J$50-Konvergensi!$B$194;2);PANGKAT(Normalisasi!$K$50-Konvergensi!$C$194;2);PANGKAT(Normalisasi!$L$50-Konvergensi!$D$194;2);PANGKAT(Normalisasi!$M$50-Konvergensi!$E$194;2);PANGKAT(Normalisasi!$N$50-Konvergensi!$F$194;2);PANGKAT(Normalisasi!$O$50-Konvergensi!$G$194;2);PANGKAT(Normalisasi!$P$50-Konvergensi!$H$194;2));0);JIKA(F189=1;JUMLAH(PANGKAT(Normalisasi!$J$50-Konvergensi!$B$195;2);PANGKAT(Normalisasi!$K$50-Konvergensi!$C$195;2);PANGKAT(Normalisasi!$L$50-Konvergensi!$D$195;2);PANGKAT(Normalisasi!$M$50-Konvergensi!$E$195;2);PANGKAT(Normalisasi!$N$50-Konvergensi!$F$195;2);PANGKAT(Normalisasi!$O$50-Konvergensi!$G$195;2);PANGKAT(Normalisasi!$P$50-Konvergensi!$H$195;2));0);JIKA(F189=2;JUMLAH(PANGKAT(Normalisasi!$J$50-Konvergensi!$B$196;2);PANGKAT(Normalisasi!$K$50-Konvergensi!$C$196;2);PANGKAT(Normalisasi!$L$50-Konvergensi!$D$196;2);PANGKAT(Normalisasi!$M$50-Konvergensi!$E$196;2);PANGKAT(Normalisasi!$N$50-Konvergensi!$F$196;2);PANGKAT(Normalisasi!$O$50-Konvergensi!$G$196;2);PANGKAT(Normalisasi!$P$50-Konvergensi!$H$196;2));0))</f>
        <v/>
      </c>
      <c r="H189" t="n">
        <v>0</v>
      </c>
      <c r="I189" t="n">
        <v>4.174480992616687</v>
      </c>
    </row>
    <row r="190">
      <c r="A190">
        <f>Data_Awal!A51</f>
        <v/>
      </c>
      <c r="B190">
        <f>Data_Awal!B51</f>
        <v/>
      </c>
      <c r="C190">
        <f>AKAR(JUMLAH(PANGKAT(Normalisasi!$J$51-Konvergensi!$B$129;2);PANGKAT(Normalisasi!$K$51-Konvergensi!$C$129;2);PANGKAT(Normalisasi!$L$51-Konvergensi!$D$129;2);PANGKAT(Normalisasi!$M$51-Konvergensi!$E$129;2);PANGKAT(Normalisasi!$N$51-Konvergensi!$F$129;2);PANGKAT(Normalisasi!$O$51-Konvergensi!$G$129;2);PANGKAT(Normalisasi!$P$51-Konvergensi!$H$129;2)))</f>
        <v/>
      </c>
      <c r="D190">
        <f>AKAR(JUMLAH(PANGKAT(Normalisasi!$J$51-Konvergensi!$B$130;2);PANGKAT(Normalisasi!$K$51-Konvergensi!$C$130;2);PANGKAT(Normalisasi!$L$51-Konvergensi!$D$130;2);PANGKAT(Normalisasi!$M$51-Konvergensi!$E$130;2);PANGKAT(Normalisasi!$N$51-Konvergensi!$F$130;2);PANGKAT(Normalisasi!$O$51-Konvergensi!$G$130;2);PANGKAT(Normalisasi!$P$51-Konvergensi!$H$130;2)))</f>
        <v/>
      </c>
      <c r="E190">
        <f>AKAR(JUMLAH(PANGKAT(Normalisasi!$J$51-Konvergensi!$B$131;2);PANGKAT(Normalisasi!$K$51-Konvergensi!$C$131;2);PANGKAT(Normalisasi!$L$51-Konvergensi!$D$131;2);PANGKAT(Normalisasi!$M$51-Konvergensi!$E$131;2);PANGKAT(Normalisasi!$N$51-Konvergensi!$F$131;2);PANGKAT(Normalisasi!$O$51-Konvergensi!$G$131;2);PANGKAT(Normalisasi!$P$51-Konvergensi!$H$131;2)))</f>
        <v/>
      </c>
      <c r="F190">
        <f>JIKA(C190&lt;=D190;=JIKA(C190&lt;=E190;0;2);=JIKA(D190&lt;=E190;1;2))</f>
        <v/>
      </c>
      <c r="G190">
        <f>JUMLAH(JIKA(F190=0;JUMLAH(PANGKAT(Normalisasi!$J$51-Konvergensi!$B$194;2);PANGKAT(Normalisasi!$K$51-Konvergensi!$C$194;2);PANGKAT(Normalisasi!$L$51-Konvergensi!$D$194;2);PANGKAT(Normalisasi!$M$51-Konvergensi!$E$194;2);PANGKAT(Normalisasi!$N$51-Konvergensi!$F$194;2);PANGKAT(Normalisasi!$O$51-Konvergensi!$G$194;2);PANGKAT(Normalisasi!$P$51-Konvergensi!$H$194;2));0);JIKA(F190=1;JUMLAH(PANGKAT(Normalisasi!$J$51-Konvergensi!$B$195;2);PANGKAT(Normalisasi!$K$51-Konvergensi!$C$195;2);PANGKAT(Normalisasi!$L$51-Konvergensi!$D$195;2);PANGKAT(Normalisasi!$M$51-Konvergensi!$E$195;2);PANGKAT(Normalisasi!$N$51-Konvergensi!$F$195;2);PANGKAT(Normalisasi!$O$51-Konvergensi!$G$195;2);PANGKAT(Normalisasi!$P$51-Konvergensi!$H$195;2));0);JIKA(F190=2;JUMLAH(PANGKAT(Normalisasi!$J$51-Konvergensi!$B$196;2);PANGKAT(Normalisasi!$K$51-Konvergensi!$C$196;2);PANGKAT(Normalisasi!$L$51-Konvergensi!$D$196;2);PANGKAT(Normalisasi!$M$51-Konvergensi!$E$196;2);PANGKAT(Normalisasi!$N$51-Konvergensi!$F$196;2);PANGKAT(Normalisasi!$O$51-Konvergensi!$G$196;2);PANGKAT(Normalisasi!$P$51-Konvergensi!$H$196;2));0))</f>
        <v/>
      </c>
      <c r="H190" t="n">
        <v>0</v>
      </c>
      <c r="I190" t="n">
        <v>4.849862844612408</v>
      </c>
    </row>
    <row r="192">
      <c r="A192" s="4" t="inlineStr">
        <is>
          <t>Centroid baru setelah iter 3</t>
        </is>
      </c>
    </row>
    <row r="193">
      <c r="A193" t="inlineStr">
        <is>
          <t>Cluster</t>
        </is>
      </c>
      <c r="B193" s="1" t="inlineStr">
        <is>
          <t>Z Latitude</t>
        </is>
      </c>
      <c r="C193" s="1" t="inlineStr">
        <is>
          <t>Z Longitude</t>
        </is>
      </c>
      <c r="D193" s="1" t="inlineStr">
        <is>
          <t>Z Semantic Score</t>
        </is>
      </c>
      <c r="E193" s="1" t="inlineStr">
        <is>
          <t>Z Jarak Hotel (m)</t>
        </is>
      </c>
      <c r="F193" s="1" t="inlineStr">
        <is>
          <t>Z Jarak Halte (m)</t>
        </is>
      </c>
      <c r="G193" s="1" t="inlineStr">
        <is>
          <t>Z Restoran 500m</t>
        </is>
      </c>
      <c r="H193" s="1" t="inlineStr">
        <is>
          <t>Z Minimarket 500m</t>
        </is>
      </c>
    </row>
    <row r="194">
      <c r="A194" t="inlineStr">
        <is>
          <t>C0</t>
        </is>
      </c>
      <c r="B194">
        <f>RATA.RATA.JIKA($F$141:$F$190;0;Normalisasi!$J$2:$J$51)</f>
        <v/>
      </c>
      <c r="C194">
        <f>RATA.RATA.JIKA($F$141:$F$190;0;Normalisasi!$K$2:$K$51)</f>
        <v/>
      </c>
      <c r="D194">
        <f>RATA.RATA.JIKA($F$141:$F$190;0;Normalisasi!$L$2:$L$51)</f>
        <v/>
      </c>
      <c r="E194">
        <f>RATA.RATA.JIKA($F$141:$F$190;0;Normalisasi!$M$2:$M$51)</f>
        <v/>
      </c>
      <c r="F194">
        <f>RATA.RATA.JIKA($F$141:$F$190;0;Normalisasi!$N$2:$N$51)</f>
        <v/>
      </c>
      <c r="G194">
        <f>RATA.RATA.JIKA($F$141:$F$190;0;Normalisasi!$O$2:$O$51)</f>
        <v/>
      </c>
      <c r="H194">
        <f>RATA.RATA.JIKA($F$141:$F$190;0;Normalisasi!$P$2:$P$51)</f>
        <v/>
      </c>
      <c r="J194" t="n">
        <v>-0.1617028488289519</v>
      </c>
      <c r="K194" t="n">
        <v>-0.126849543500487</v>
      </c>
      <c r="L194" t="n">
        <v>-0.1082402010526779</v>
      </c>
      <c r="M194" t="n">
        <v>-0.4784483351599479</v>
      </c>
      <c r="N194" t="n">
        <v>-0.4415480783333547</v>
      </c>
      <c r="O194" t="n">
        <v>-0.3885803795338909</v>
      </c>
      <c r="P194" t="n">
        <v>0.18674876619409</v>
      </c>
    </row>
    <row r="195">
      <c r="A195" t="inlineStr">
        <is>
          <t>C1</t>
        </is>
      </c>
      <c r="B195">
        <f>RATA.RATA.JIKA($F$141:$F$190;1;Normalisasi!$J$2:$J$51)</f>
        <v/>
      </c>
      <c r="C195">
        <f>RATA.RATA.JIKA($F$141:$F$190;1;Normalisasi!$K$2:$K$51)</f>
        <v/>
      </c>
      <c r="D195">
        <f>RATA.RATA.JIKA($F$141:$F$190;1;Normalisasi!$L$2:$L$51)</f>
        <v/>
      </c>
      <c r="E195">
        <f>RATA.RATA.JIKA($F$141:$F$190;1;Normalisasi!$M$2:$M$51)</f>
        <v/>
      </c>
      <c r="F195">
        <f>RATA.RATA.JIKA($F$141:$F$190;1;Normalisasi!$N$2:$N$51)</f>
        <v/>
      </c>
      <c r="G195">
        <f>RATA.RATA.JIKA($F$141:$F$190;1;Normalisasi!$O$2:$O$51)</f>
        <v/>
      </c>
      <c r="H195">
        <f>RATA.RATA.JIKA($F$141:$F$190;1;Normalisasi!$P$2:$P$51)</f>
        <v/>
      </c>
      <c r="J195" t="n">
        <v>-0.1657279022145444</v>
      </c>
      <c r="K195" t="n">
        <v>0.1758635709175079</v>
      </c>
      <c r="L195" t="n">
        <v>0.2854088392484354</v>
      </c>
      <c r="M195" t="n">
        <v>0.5638900772964751</v>
      </c>
      <c r="N195" t="n">
        <v>1.046607242724782</v>
      </c>
      <c r="O195" t="n">
        <v>0.2611416055903919</v>
      </c>
      <c r="P195" t="n">
        <v>-0.8598521435832207</v>
      </c>
    </row>
    <row r="196">
      <c r="A196" t="inlineStr">
        <is>
          <t>C2</t>
        </is>
      </c>
      <c r="B196">
        <f>RATA.RATA.JIKA($F$141:$F$190;2;Normalisasi!$J$2:$J$51)</f>
        <v/>
      </c>
      <c r="C196">
        <f>RATA.RATA.JIKA($F$141:$F$190;2;Normalisasi!$K$2:$K$51)</f>
        <v/>
      </c>
      <c r="D196">
        <f>RATA.RATA.JIKA($F$141:$F$190;2;Normalisasi!$L$2:$L$51)</f>
        <v/>
      </c>
      <c r="E196">
        <f>RATA.RATA.JIKA($F$141:$F$190;2;Normalisasi!$M$2:$M$51)</f>
        <v/>
      </c>
      <c r="F196">
        <f>RATA.RATA.JIKA($F$141:$F$190;2;Normalisasi!$N$2:$N$51)</f>
        <v/>
      </c>
      <c r="G196">
        <f>RATA.RATA.JIKA($F$141:$F$190;2;Normalisasi!$O$2:$O$51)</f>
        <v/>
      </c>
      <c r="H196">
        <f>RATA.RATA.JIKA($F$141:$F$190;2;Normalisasi!$P$2:$P$51)</f>
        <v/>
      </c>
      <c r="J196" t="n">
        <v>1.001942614347045</v>
      </c>
      <c r="K196" t="n">
        <v>0.1305476648937534</v>
      </c>
      <c r="L196" t="n">
        <v>-0.1786295656073689</v>
      </c>
      <c r="M196" t="n">
        <v>0.7054574607187732</v>
      </c>
      <c r="N196" t="n">
        <v>-0.4765374925054019</v>
      </c>
      <c r="O196" t="n">
        <v>0.9947323632990089</v>
      </c>
      <c r="P196" t="n">
        <v>1.095545242901971</v>
      </c>
    </row>
    <row r="198">
      <c r="A198" t="inlineStr">
        <is>
          <t>Total WCSS (Excel)</t>
        </is>
      </c>
      <c r="B198">
        <f>JUMLAH($G$141:$G$190)</f>
        <v/>
      </c>
    </row>
    <row r="199">
      <c r="A199" t="inlineStr">
        <is>
          <t>Total WCSS (Python)</t>
        </is>
      </c>
      <c r="B199" t="n">
        <v>268.233905310231</v>
      </c>
    </row>
    <row r="200">
      <c r="A200" t="inlineStr">
        <is>
          <t>Selisih WCSS</t>
        </is>
      </c>
      <c r="B200">
        <f>ABS(B198-B199)</f>
        <v/>
      </c>
    </row>
    <row r="201">
      <c r="A201" t="inlineStr">
        <is>
          <t>Label berubah?</t>
        </is>
      </c>
      <c r="B201">
        <f>JIKA(JUMLAH(JIKA($F$141:$F$190&lt;&gt;$F$141:$F$190;1;0))=0;"Tidak";"Ya")</f>
        <v/>
      </c>
    </row>
    <row r="202">
      <c r="A202" t="inlineStr">
        <is>
          <t>Max shift centroid</t>
        </is>
      </c>
      <c r="B202" t="n">
        <v>0.2328411139531765</v>
      </c>
    </row>
    <row r="204">
      <c r="A204" s="4" t="inlineStr">
        <is>
          <t>ITER 4 — Assignment &amp; Centroid Baru</t>
        </is>
      </c>
    </row>
    <row r="205">
      <c r="A205" s="1" t="inlineStr">
        <is>
          <t>POI ID</t>
        </is>
      </c>
      <c r="B205" s="1" t="inlineStr">
        <is>
          <t>Nama</t>
        </is>
      </c>
      <c r="C205" s="1" t="inlineStr">
        <is>
          <t>d(C0)</t>
        </is>
      </c>
      <c r="D205" s="1" t="inlineStr">
        <is>
          <t>d(C1)</t>
        </is>
      </c>
      <c r="E205" s="1" t="inlineStr">
        <is>
          <t>d(C2)</t>
        </is>
      </c>
      <c r="F205" s="1" t="inlineStr">
        <is>
          <t>Cluster</t>
        </is>
      </c>
      <c r="G205" s="1" t="inlineStr">
        <is>
          <t>WCSS POI</t>
        </is>
      </c>
      <c r="H205" s="1" t="inlineStr">
        <is>
          <t>Py Cluster</t>
        </is>
      </c>
      <c r="I205" s="1" t="inlineStr">
        <is>
          <t>Py WCSS</t>
        </is>
      </c>
    </row>
    <row r="206">
      <c r="A206">
        <f>Data_Awal!A2</f>
        <v/>
      </c>
      <c r="B206">
        <f>Data_Awal!B2</f>
        <v/>
      </c>
      <c r="C206">
        <f>AKAR(JUMLAH(PANGKAT(Normalisasi!$J$2-Konvergensi!$B$194;2);PANGKAT(Normalisasi!$K$2-Konvergensi!$C$194;2);PANGKAT(Normalisasi!$L$2-Konvergensi!$D$194;2);PANGKAT(Normalisasi!$M$2-Konvergensi!$E$194;2);PANGKAT(Normalisasi!$N$2-Konvergensi!$F$194;2);PANGKAT(Normalisasi!$O$2-Konvergensi!$G$194;2);PANGKAT(Normalisasi!$P$2-Konvergensi!$H$194;2)))</f>
        <v/>
      </c>
      <c r="D206">
        <f>AKAR(JUMLAH(PANGKAT(Normalisasi!$J$2-Konvergensi!$B$195;2);PANGKAT(Normalisasi!$K$2-Konvergensi!$C$195;2);PANGKAT(Normalisasi!$L$2-Konvergensi!$D$195;2);PANGKAT(Normalisasi!$M$2-Konvergensi!$E$195;2);PANGKAT(Normalisasi!$N$2-Konvergensi!$F$195;2);PANGKAT(Normalisasi!$O$2-Konvergensi!$G$195;2);PANGKAT(Normalisasi!$P$2-Konvergensi!$H$195;2)))</f>
        <v/>
      </c>
      <c r="E206">
        <f>AKAR(JUMLAH(PANGKAT(Normalisasi!$J$2-Konvergensi!$B$196;2);PANGKAT(Normalisasi!$K$2-Konvergensi!$C$196;2);PANGKAT(Normalisasi!$L$2-Konvergensi!$D$196;2);PANGKAT(Normalisasi!$M$2-Konvergensi!$E$196;2);PANGKAT(Normalisasi!$N$2-Konvergensi!$F$196;2);PANGKAT(Normalisasi!$O$2-Konvergensi!$G$196;2);PANGKAT(Normalisasi!$P$2-Konvergensi!$H$196;2)))</f>
        <v/>
      </c>
      <c r="F206">
        <f>JIKA(C206&lt;=D206;=JIKA(C206&lt;=E206;0;2);=JIKA(D206&lt;=E206;1;2))</f>
        <v/>
      </c>
      <c r="G206">
        <f>JUMLAH(JIKA(F206=0;JUMLAH(PANGKAT(Normalisasi!$J$2-Konvergensi!$B$259;2);PANGKAT(Normalisasi!$K$2-Konvergensi!$C$259;2);PANGKAT(Normalisasi!$L$2-Konvergensi!$D$259;2);PANGKAT(Normalisasi!$M$2-Konvergensi!$E$259;2);PANGKAT(Normalisasi!$N$2-Konvergensi!$F$259;2);PANGKAT(Normalisasi!$O$2-Konvergensi!$G$259;2);PANGKAT(Normalisasi!$P$2-Konvergensi!$H$259;2));0);JIKA(F206=1;JUMLAH(PANGKAT(Normalisasi!$J$2-Konvergensi!$B$260;2);PANGKAT(Normalisasi!$K$2-Konvergensi!$C$260;2);PANGKAT(Normalisasi!$L$2-Konvergensi!$D$260;2);PANGKAT(Normalisasi!$M$2-Konvergensi!$E$260;2);PANGKAT(Normalisasi!$N$2-Konvergensi!$F$260;2);PANGKAT(Normalisasi!$O$2-Konvergensi!$G$260;2);PANGKAT(Normalisasi!$P$2-Konvergensi!$H$260;2));0);JIKA(F206=2;JUMLAH(PANGKAT(Normalisasi!$J$2-Konvergensi!$B$261;2);PANGKAT(Normalisasi!$K$2-Konvergensi!$C$261;2);PANGKAT(Normalisasi!$L$2-Konvergensi!$D$261;2);PANGKAT(Normalisasi!$M$2-Konvergensi!$E$261;2);PANGKAT(Normalisasi!$N$2-Konvergensi!$F$261;2);PANGKAT(Normalisasi!$O$2-Konvergensi!$G$261;2);PANGKAT(Normalisasi!$P$2-Konvergensi!$H$261;2));0))</f>
        <v/>
      </c>
      <c r="H206" t="n">
        <v>0</v>
      </c>
      <c r="I206" t="n">
        <v>6.934006330119436</v>
      </c>
    </row>
    <row r="207">
      <c r="A207">
        <f>Data_Awal!A3</f>
        <v/>
      </c>
      <c r="B207">
        <f>Data_Awal!B3</f>
        <v/>
      </c>
      <c r="C207">
        <f>AKAR(JUMLAH(PANGKAT(Normalisasi!$J$3-Konvergensi!$B$194;2);PANGKAT(Normalisasi!$K$3-Konvergensi!$C$194;2);PANGKAT(Normalisasi!$L$3-Konvergensi!$D$194;2);PANGKAT(Normalisasi!$M$3-Konvergensi!$E$194;2);PANGKAT(Normalisasi!$N$3-Konvergensi!$F$194;2);PANGKAT(Normalisasi!$O$3-Konvergensi!$G$194;2);PANGKAT(Normalisasi!$P$3-Konvergensi!$H$194;2)))</f>
        <v/>
      </c>
      <c r="D207">
        <f>AKAR(JUMLAH(PANGKAT(Normalisasi!$J$3-Konvergensi!$B$195;2);PANGKAT(Normalisasi!$K$3-Konvergensi!$C$195;2);PANGKAT(Normalisasi!$L$3-Konvergensi!$D$195;2);PANGKAT(Normalisasi!$M$3-Konvergensi!$E$195;2);PANGKAT(Normalisasi!$N$3-Konvergensi!$F$195;2);PANGKAT(Normalisasi!$O$3-Konvergensi!$G$195;2);PANGKAT(Normalisasi!$P$3-Konvergensi!$H$195;2)))</f>
        <v/>
      </c>
      <c r="E207">
        <f>AKAR(JUMLAH(PANGKAT(Normalisasi!$J$3-Konvergensi!$B$196;2);PANGKAT(Normalisasi!$K$3-Konvergensi!$C$196;2);PANGKAT(Normalisasi!$L$3-Konvergensi!$D$196;2);PANGKAT(Normalisasi!$M$3-Konvergensi!$E$196;2);PANGKAT(Normalisasi!$N$3-Konvergensi!$F$196;2);PANGKAT(Normalisasi!$O$3-Konvergensi!$G$196;2);PANGKAT(Normalisasi!$P$3-Konvergensi!$H$196;2)))</f>
        <v/>
      </c>
      <c r="F207">
        <f>JIKA(C207&lt;=D207;=JIKA(C207&lt;=E207;0;2);=JIKA(D207&lt;=E207;1;2))</f>
        <v/>
      </c>
      <c r="G207">
        <f>JUMLAH(JIKA(F207=0;JUMLAH(PANGKAT(Normalisasi!$J$3-Konvergensi!$B$259;2);PANGKAT(Normalisasi!$K$3-Konvergensi!$C$259;2);PANGKAT(Normalisasi!$L$3-Konvergensi!$D$259;2);PANGKAT(Normalisasi!$M$3-Konvergensi!$E$259;2);PANGKAT(Normalisasi!$N$3-Konvergensi!$F$259;2);PANGKAT(Normalisasi!$O$3-Konvergensi!$G$259;2);PANGKAT(Normalisasi!$P$3-Konvergensi!$H$259;2));0);JIKA(F207=1;JUMLAH(PANGKAT(Normalisasi!$J$3-Konvergensi!$B$260;2);PANGKAT(Normalisasi!$K$3-Konvergensi!$C$260;2);PANGKAT(Normalisasi!$L$3-Konvergensi!$D$260;2);PANGKAT(Normalisasi!$M$3-Konvergensi!$E$260;2);PANGKAT(Normalisasi!$N$3-Konvergensi!$F$260;2);PANGKAT(Normalisasi!$O$3-Konvergensi!$G$260;2);PANGKAT(Normalisasi!$P$3-Konvergensi!$H$260;2));0);JIKA(F207=2;JUMLAH(PANGKAT(Normalisasi!$J$3-Konvergensi!$B$261;2);PANGKAT(Normalisasi!$K$3-Konvergensi!$C$261;2);PANGKAT(Normalisasi!$L$3-Konvergensi!$D$261;2);PANGKAT(Normalisasi!$M$3-Konvergensi!$E$261;2);PANGKAT(Normalisasi!$N$3-Konvergensi!$F$261;2);PANGKAT(Normalisasi!$O$3-Konvergensi!$G$261;2);PANGKAT(Normalisasi!$P$3-Konvergensi!$H$261;2));0))</f>
        <v/>
      </c>
      <c r="H207" t="n">
        <v>1</v>
      </c>
      <c r="I207" t="n">
        <v>6.23025285156297</v>
      </c>
    </row>
    <row r="208">
      <c r="A208">
        <f>Data_Awal!A4</f>
        <v/>
      </c>
      <c r="B208">
        <f>Data_Awal!B4</f>
        <v/>
      </c>
      <c r="C208">
        <f>AKAR(JUMLAH(PANGKAT(Normalisasi!$J$4-Konvergensi!$B$194;2);PANGKAT(Normalisasi!$K$4-Konvergensi!$C$194;2);PANGKAT(Normalisasi!$L$4-Konvergensi!$D$194;2);PANGKAT(Normalisasi!$M$4-Konvergensi!$E$194;2);PANGKAT(Normalisasi!$N$4-Konvergensi!$F$194;2);PANGKAT(Normalisasi!$O$4-Konvergensi!$G$194;2);PANGKAT(Normalisasi!$P$4-Konvergensi!$H$194;2)))</f>
        <v/>
      </c>
      <c r="D208">
        <f>AKAR(JUMLAH(PANGKAT(Normalisasi!$J$4-Konvergensi!$B$195;2);PANGKAT(Normalisasi!$K$4-Konvergensi!$C$195;2);PANGKAT(Normalisasi!$L$4-Konvergensi!$D$195;2);PANGKAT(Normalisasi!$M$4-Konvergensi!$E$195;2);PANGKAT(Normalisasi!$N$4-Konvergensi!$F$195;2);PANGKAT(Normalisasi!$O$4-Konvergensi!$G$195;2);PANGKAT(Normalisasi!$P$4-Konvergensi!$H$195;2)))</f>
        <v/>
      </c>
      <c r="E208">
        <f>AKAR(JUMLAH(PANGKAT(Normalisasi!$J$4-Konvergensi!$B$196;2);PANGKAT(Normalisasi!$K$4-Konvergensi!$C$196;2);PANGKAT(Normalisasi!$L$4-Konvergensi!$D$196;2);PANGKAT(Normalisasi!$M$4-Konvergensi!$E$196;2);PANGKAT(Normalisasi!$N$4-Konvergensi!$F$196;2);PANGKAT(Normalisasi!$O$4-Konvergensi!$G$196;2);PANGKAT(Normalisasi!$P$4-Konvergensi!$H$196;2)))</f>
        <v/>
      </c>
      <c r="F208">
        <f>JIKA(C208&lt;=D208;=JIKA(C208&lt;=E208;0;2);=JIKA(D208&lt;=E208;1;2))</f>
        <v/>
      </c>
      <c r="G208">
        <f>JUMLAH(JIKA(F208=0;JUMLAH(PANGKAT(Normalisasi!$J$4-Konvergensi!$B$259;2);PANGKAT(Normalisasi!$K$4-Konvergensi!$C$259;2);PANGKAT(Normalisasi!$L$4-Konvergensi!$D$259;2);PANGKAT(Normalisasi!$M$4-Konvergensi!$E$259;2);PANGKAT(Normalisasi!$N$4-Konvergensi!$F$259;2);PANGKAT(Normalisasi!$O$4-Konvergensi!$G$259;2);PANGKAT(Normalisasi!$P$4-Konvergensi!$H$259;2));0);JIKA(F208=1;JUMLAH(PANGKAT(Normalisasi!$J$4-Konvergensi!$B$260;2);PANGKAT(Normalisasi!$K$4-Konvergensi!$C$260;2);PANGKAT(Normalisasi!$L$4-Konvergensi!$D$260;2);PANGKAT(Normalisasi!$M$4-Konvergensi!$E$260;2);PANGKAT(Normalisasi!$N$4-Konvergensi!$F$260;2);PANGKAT(Normalisasi!$O$4-Konvergensi!$G$260;2);PANGKAT(Normalisasi!$P$4-Konvergensi!$H$260;2));0);JIKA(F208=2;JUMLAH(PANGKAT(Normalisasi!$J$4-Konvergensi!$B$261;2);PANGKAT(Normalisasi!$K$4-Konvergensi!$C$261;2);PANGKAT(Normalisasi!$L$4-Konvergensi!$D$261;2);PANGKAT(Normalisasi!$M$4-Konvergensi!$E$261;2);PANGKAT(Normalisasi!$N$4-Konvergensi!$F$261;2);PANGKAT(Normalisasi!$O$4-Konvergensi!$G$261;2);PANGKAT(Normalisasi!$P$4-Konvergensi!$H$261;2));0))</f>
        <v/>
      </c>
      <c r="H208" t="n">
        <v>1</v>
      </c>
      <c r="I208" t="n">
        <v>5.699312262706178</v>
      </c>
    </row>
    <row r="209">
      <c r="A209">
        <f>Data_Awal!A5</f>
        <v/>
      </c>
      <c r="B209">
        <f>Data_Awal!B5</f>
        <v/>
      </c>
      <c r="C209">
        <f>AKAR(JUMLAH(PANGKAT(Normalisasi!$J$5-Konvergensi!$B$194;2);PANGKAT(Normalisasi!$K$5-Konvergensi!$C$194;2);PANGKAT(Normalisasi!$L$5-Konvergensi!$D$194;2);PANGKAT(Normalisasi!$M$5-Konvergensi!$E$194;2);PANGKAT(Normalisasi!$N$5-Konvergensi!$F$194;2);PANGKAT(Normalisasi!$O$5-Konvergensi!$G$194;2);PANGKAT(Normalisasi!$P$5-Konvergensi!$H$194;2)))</f>
        <v/>
      </c>
      <c r="D209">
        <f>AKAR(JUMLAH(PANGKAT(Normalisasi!$J$5-Konvergensi!$B$195;2);PANGKAT(Normalisasi!$K$5-Konvergensi!$C$195;2);PANGKAT(Normalisasi!$L$5-Konvergensi!$D$195;2);PANGKAT(Normalisasi!$M$5-Konvergensi!$E$195;2);PANGKAT(Normalisasi!$N$5-Konvergensi!$F$195;2);PANGKAT(Normalisasi!$O$5-Konvergensi!$G$195;2);PANGKAT(Normalisasi!$P$5-Konvergensi!$H$195;2)))</f>
        <v/>
      </c>
      <c r="E209">
        <f>AKAR(JUMLAH(PANGKAT(Normalisasi!$J$5-Konvergensi!$B$196;2);PANGKAT(Normalisasi!$K$5-Konvergensi!$C$196;2);PANGKAT(Normalisasi!$L$5-Konvergensi!$D$196;2);PANGKAT(Normalisasi!$M$5-Konvergensi!$E$196;2);PANGKAT(Normalisasi!$N$5-Konvergensi!$F$196;2);PANGKAT(Normalisasi!$O$5-Konvergensi!$G$196;2);PANGKAT(Normalisasi!$P$5-Konvergensi!$H$196;2)))</f>
        <v/>
      </c>
      <c r="F209">
        <f>JIKA(C209&lt;=D209;=JIKA(C209&lt;=E209;0;2);=JIKA(D209&lt;=E209;1;2))</f>
        <v/>
      </c>
      <c r="G209">
        <f>JUMLAH(JIKA(F209=0;JUMLAH(PANGKAT(Normalisasi!$J$5-Konvergensi!$B$259;2);PANGKAT(Normalisasi!$K$5-Konvergensi!$C$259;2);PANGKAT(Normalisasi!$L$5-Konvergensi!$D$259;2);PANGKAT(Normalisasi!$M$5-Konvergensi!$E$259;2);PANGKAT(Normalisasi!$N$5-Konvergensi!$F$259;2);PANGKAT(Normalisasi!$O$5-Konvergensi!$G$259;2);PANGKAT(Normalisasi!$P$5-Konvergensi!$H$259;2));0);JIKA(F209=1;JUMLAH(PANGKAT(Normalisasi!$J$5-Konvergensi!$B$260;2);PANGKAT(Normalisasi!$K$5-Konvergensi!$C$260;2);PANGKAT(Normalisasi!$L$5-Konvergensi!$D$260;2);PANGKAT(Normalisasi!$M$5-Konvergensi!$E$260;2);PANGKAT(Normalisasi!$N$5-Konvergensi!$F$260;2);PANGKAT(Normalisasi!$O$5-Konvergensi!$G$260;2);PANGKAT(Normalisasi!$P$5-Konvergensi!$H$260;2));0);JIKA(F209=2;JUMLAH(PANGKAT(Normalisasi!$J$5-Konvergensi!$B$261;2);PANGKAT(Normalisasi!$K$5-Konvergensi!$C$261;2);PANGKAT(Normalisasi!$L$5-Konvergensi!$D$261;2);PANGKAT(Normalisasi!$M$5-Konvergensi!$E$261;2);PANGKAT(Normalisasi!$N$5-Konvergensi!$F$261;2);PANGKAT(Normalisasi!$O$5-Konvergensi!$G$261;2);PANGKAT(Normalisasi!$P$5-Konvergensi!$H$261;2));0))</f>
        <v/>
      </c>
      <c r="H209" t="n">
        <v>0</v>
      </c>
      <c r="I209" t="n">
        <v>6.658401892638854</v>
      </c>
    </row>
    <row r="210">
      <c r="A210">
        <f>Data_Awal!A6</f>
        <v/>
      </c>
      <c r="B210">
        <f>Data_Awal!B6</f>
        <v/>
      </c>
      <c r="C210">
        <f>AKAR(JUMLAH(PANGKAT(Normalisasi!$J$6-Konvergensi!$B$194;2);PANGKAT(Normalisasi!$K$6-Konvergensi!$C$194;2);PANGKAT(Normalisasi!$L$6-Konvergensi!$D$194;2);PANGKAT(Normalisasi!$M$6-Konvergensi!$E$194;2);PANGKAT(Normalisasi!$N$6-Konvergensi!$F$194;2);PANGKAT(Normalisasi!$O$6-Konvergensi!$G$194;2);PANGKAT(Normalisasi!$P$6-Konvergensi!$H$194;2)))</f>
        <v/>
      </c>
      <c r="D210">
        <f>AKAR(JUMLAH(PANGKAT(Normalisasi!$J$6-Konvergensi!$B$195;2);PANGKAT(Normalisasi!$K$6-Konvergensi!$C$195;2);PANGKAT(Normalisasi!$L$6-Konvergensi!$D$195;2);PANGKAT(Normalisasi!$M$6-Konvergensi!$E$195;2);PANGKAT(Normalisasi!$N$6-Konvergensi!$F$195;2);PANGKAT(Normalisasi!$O$6-Konvergensi!$G$195;2);PANGKAT(Normalisasi!$P$6-Konvergensi!$H$195;2)))</f>
        <v/>
      </c>
      <c r="E210">
        <f>AKAR(JUMLAH(PANGKAT(Normalisasi!$J$6-Konvergensi!$B$196;2);PANGKAT(Normalisasi!$K$6-Konvergensi!$C$196;2);PANGKAT(Normalisasi!$L$6-Konvergensi!$D$196;2);PANGKAT(Normalisasi!$M$6-Konvergensi!$E$196;2);PANGKAT(Normalisasi!$N$6-Konvergensi!$F$196;2);PANGKAT(Normalisasi!$O$6-Konvergensi!$G$196;2);PANGKAT(Normalisasi!$P$6-Konvergensi!$H$196;2)))</f>
        <v/>
      </c>
      <c r="F210">
        <f>JIKA(C210&lt;=D210;=JIKA(C210&lt;=E210;0;2);=JIKA(D210&lt;=E210;1;2))</f>
        <v/>
      </c>
      <c r="G210">
        <f>JUMLAH(JIKA(F210=0;JUMLAH(PANGKAT(Normalisasi!$J$6-Konvergensi!$B$259;2);PANGKAT(Normalisasi!$K$6-Konvergensi!$C$259;2);PANGKAT(Normalisasi!$L$6-Konvergensi!$D$259;2);PANGKAT(Normalisasi!$M$6-Konvergensi!$E$259;2);PANGKAT(Normalisasi!$N$6-Konvergensi!$F$259;2);PANGKAT(Normalisasi!$O$6-Konvergensi!$G$259;2);PANGKAT(Normalisasi!$P$6-Konvergensi!$H$259;2));0);JIKA(F210=1;JUMLAH(PANGKAT(Normalisasi!$J$6-Konvergensi!$B$260;2);PANGKAT(Normalisasi!$K$6-Konvergensi!$C$260;2);PANGKAT(Normalisasi!$L$6-Konvergensi!$D$260;2);PANGKAT(Normalisasi!$M$6-Konvergensi!$E$260;2);PANGKAT(Normalisasi!$N$6-Konvergensi!$F$260;2);PANGKAT(Normalisasi!$O$6-Konvergensi!$G$260;2);PANGKAT(Normalisasi!$P$6-Konvergensi!$H$260;2));0);JIKA(F210=2;JUMLAH(PANGKAT(Normalisasi!$J$6-Konvergensi!$B$261;2);PANGKAT(Normalisasi!$K$6-Konvergensi!$C$261;2);PANGKAT(Normalisasi!$L$6-Konvergensi!$D$261;2);PANGKAT(Normalisasi!$M$6-Konvergensi!$E$261;2);PANGKAT(Normalisasi!$N$6-Konvergensi!$F$261;2);PANGKAT(Normalisasi!$O$6-Konvergensi!$G$261;2);PANGKAT(Normalisasi!$P$6-Konvergensi!$H$261;2));0))</f>
        <v/>
      </c>
      <c r="H210" t="n">
        <v>0</v>
      </c>
      <c r="I210" t="n">
        <v>6.351454009711137</v>
      </c>
    </row>
    <row r="211">
      <c r="A211">
        <f>Data_Awal!A7</f>
        <v/>
      </c>
      <c r="B211">
        <f>Data_Awal!B7</f>
        <v/>
      </c>
      <c r="C211">
        <f>AKAR(JUMLAH(PANGKAT(Normalisasi!$J$7-Konvergensi!$B$194;2);PANGKAT(Normalisasi!$K$7-Konvergensi!$C$194;2);PANGKAT(Normalisasi!$L$7-Konvergensi!$D$194;2);PANGKAT(Normalisasi!$M$7-Konvergensi!$E$194;2);PANGKAT(Normalisasi!$N$7-Konvergensi!$F$194;2);PANGKAT(Normalisasi!$O$7-Konvergensi!$G$194;2);PANGKAT(Normalisasi!$P$7-Konvergensi!$H$194;2)))</f>
        <v/>
      </c>
      <c r="D211">
        <f>AKAR(JUMLAH(PANGKAT(Normalisasi!$J$7-Konvergensi!$B$195;2);PANGKAT(Normalisasi!$K$7-Konvergensi!$C$195;2);PANGKAT(Normalisasi!$L$7-Konvergensi!$D$195;2);PANGKAT(Normalisasi!$M$7-Konvergensi!$E$195;2);PANGKAT(Normalisasi!$N$7-Konvergensi!$F$195;2);PANGKAT(Normalisasi!$O$7-Konvergensi!$G$195;2);PANGKAT(Normalisasi!$P$7-Konvergensi!$H$195;2)))</f>
        <v/>
      </c>
      <c r="E211">
        <f>AKAR(JUMLAH(PANGKAT(Normalisasi!$J$7-Konvergensi!$B$196;2);PANGKAT(Normalisasi!$K$7-Konvergensi!$C$196;2);PANGKAT(Normalisasi!$L$7-Konvergensi!$D$196;2);PANGKAT(Normalisasi!$M$7-Konvergensi!$E$196;2);PANGKAT(Normalisasi!$N$7-Konvergensi!$F$196;2);PANGKAT(Normalisasi!$O$7-Konvergensi!$G$196;2);PANGKAT(Normalisasi!$P$7-Konvergensi!$H$196;2)))</f>
        <v/>
      </c>
      <c r="F211">
        <f>JIKA(C211&lt;=D211;=JIKA(C211&lt;=E211;0;2);=JIKA(D211&lt;=E211;1;2))</f>
        <v/>
      </c>
      <c r="G211">
        <f>JUMLAH(JIKA(F211=0;JUMLAH(PANGKAT(Normalisasi!$J$7-Konvergensi!$B$259;2);PANGKAT(Normalisasi!$K$7-Konvergensi!$C$259;2);PANGKAT(Normalisasi!$L$7-Konvergensi!$D$259;2);PANGKAT(Normalisasi!$M$7-Konvergensi!$E$259;2);PANGKAT(Normalisasi!$N$7-Konvergensi!$F$259;2);PANGKAT(Normalisasi!$O$7-Konvergensi!$G$259;2);PANGKAT(Normalisasi!$P$7-Konvergensi!$H$259;2));0);JIKA(F211=1;JUMLAH(PANGKAT(Normalisasi!$J$7-Konvergensi!$B$260;2);PANGKAT(Normalisasi!$K$7-Konvergensi!$C$260;2);PANGKAT(Normalisasi!$L$7-Konvergensi!$D$260;2);PANGKAT(Normalisasi!$M$7-Konvergensi!$E$260;2);PANGKAT(Normalisasi!$N$7-Konvergensi!$F$260;2);PANGKAT(Normalisasi!$O$7-Konvergensi!$G$260;2);PANGKAT(Normalisasi!$P$7-Konvergensi!$H$260;2));0);JIKA(F211=2;JUMLAH(PANGKAT(Normalisasi!$J$7-Konvergensi!$B$261;2);PANGKAT(Normalisasi!$K$7-Konvergensi!$C$261;2);PANGKAT(Normalisasi!$L$7-Konvergensi!$D$261;2);PANGKAT(Normalisasi!$M$7-Konvergensi!$E$261;2);PANGKAT(Normalisasi!$N$7-Konvergensi!$F$261;2);PANGKAT(Normalisasi!$O$7-Konvergensi!$G$261;2);PANGKAT(Normalisasi!$P$7-Konvergensi!$H$261;2));0))</f>
        <v/>
      </c>
      <c r="H211" t="n">
        <v>0</v>
      </c>
      <c r="I211" t="n">
        <v>5.994543604430437</v>
      </c>
    </row>
    <row r="212">
      <c r="A212">
        <f>Data_Awal!A8</f>
        <v/>
      </c>
      <c r="B212">
        <f>Data_Awal!B8</f>
        <v/>
      </c>
      <c r="C212">
        <f>AKAR(JUMLAH(PANGKAT(Normalisasi!$J$8-Konvergensi!$B$194;2);PANGKAT(Normalisasi!$K$8-Konvergensi!$C$194;2);PANGKAT(Normalisasi!$L$8-Konvergensi!$D$194;2);PANGKAT(Normalisasi!$M$8-Konvergensi!$E$194;2);PANGKAT(Normalisasi!$N$8-Konvergensi!$F$194;2);PANGKAT(Normalisasi!$O$8-Konvergensi!$G$194;2);PANGKAT(Normalisasi!$P$8-Konvergensi!$H$194;2)))</f>
        <v/>
      </c>
      <c r="D212">
        <f>AKAR(JUMLAH(PANGKAT(Normalisasi!$J$8-Konvergensi!$B$195;2);PANGKAT(Normalisasi!$K$8-Konvergensi!$C$195;2);PANGKAT(Normalisasi!$L$8-Konvergensi!$D$195;2);PANGKAT(Normalisasi!$M$8-Konvergensi!$E$195;2);PANGKAT(Normalisasi!$N$8-Konvergensi!$F$195;2);PANGKAT(Normalisasi!$O$8-Konvergensi!$G$195;2);PANGKAT(Normalisasi!$P$8-Konvergensi!$H$195;2)))</f>
        <v/>
      </c>
      <c r="E212">
        <f>AKAR(JUMLAH(PANGKAT(Normalisasi!$J$8-Konvergensi!$B$196;2);PANGKAT(Normalisasi!$K$8-Konvergensi!$C$196;2);PANGKAT(Normalisasi!$L$8-Konvergensi!$D$196;2);PANGKAT(Normalisasi!$M$8-Konvergensi!$E$196;2);PANGKAT(Normalisasi!$N$8-Konvergensi!$F$196;2);PANGKAT(Normalisasi!$O$8-Konvergensi!$G$196;2);PANGKAT(Normalisasi!$P$8-Konvergensi!$H$196;2)))</f>
        <v/>
      </c>
      <c r="F212">
        <f>JIKA(C212&lt;=D212;=JIKA(C212&lt;=E212;0;2);=JIKA(D212&lt;=E212;1;2))</f>
        <v/>
      </c>
      <c r="G212">
        <f>JUMLAH(JIKA(F212=0;JUMLAH(PANGKAT(Normalisasi!$J$8-Konvergensi!$B$259;2);PANGKAT(Normalisasi!$K$8-Konvergensi!$C$259;2);PANGKAT(Normalisasi!$L$8-Konvergensi!$D$259;2);PANGKAT(Normalisasi!$M$8-Konvergensi!$E$259;2);PANGKAT(Normalisasi!$N$8-Konvergensi!$F$259;2);PANGKAT(Normalisasi!$O$8-Konvergensi!$G$259;2);PANGKAT(Normalisasi!$P$8-Konvergensi!$H$259;2));0);JIKA(F212=1;JUMLAH(PANGKAT(Normalisasi!$J$8-Konvergensi!$B$260;2);PANGKAT(Normalisasi!$K$8-Konvergensi!$C$260;2);PANGKAT(Normalisasi!$L$8-Konvergensi!$D$260;2);PANGKAT(Normalisasi!$M$8-Konvergensi!$E$260;2);PANGKAT(Normalisasi!$N$8-Konvergensi!$F$260;2);PANGKAT(Normalisasi!$O$8-Konvergensi!$G$260;2);PANGKAT(Normalisasi!$P$8-Konvergensi!$H$260;2));0);JIKA(F212=2;JUMLAH(PANGKAT(Normalisasi!$J$8-Konvergensi!$B$261;2);PANGKAT(Normalisasi!$K$8-Konvergensi!$C$261;2);PANGKAT(Normalisasi!$L$8-Konvergensi!$D$261;2);PANGKAT(Normalisasi!$M$8-Konvergensi!$E$261;2);PANGKAT(Normalisasi!$N$8-Konvergensi!$F$261;2);PANGKAT(Normalisasi!$O$8-Konvergensi!$G$261;2);PANGKAT(Normalisasi!$P$8-Konvergensi!$H$261;2));0))</f>
        <v/>
      </c>
      <c r="H212" t="n">
        <v>0</v>
      </c>
      <c r="I212" t="n">
        <v>8.768896630106184</v>
      </c>
    </row>
    <row r="213">
      <c r="A213">
        <f>Data_Awal!A9</f>
        <v/>
      </c>
      <c r="B213">
        <f>Data_Awal!B9</f>
        <v/>
      </c>
      <c r="C213">
        <f>AKAR(JUMLAH(PANGKAT(Normalisasi!$J$9-Konvergensi!$B$194;2);PANGKAT(Normalisasi!$K$9-Konvergensi!$C$194;2);PANGKAT(Normalisasi!$L$9-Konvergensi!$D$194;2);PANGKAT(Normalisasi!$M$9-Konvergensi!$E$194;2);PANGKAT(Normalisasi!$N$9-Konvergensi!$F$194;2);PANGKAT(Normalisasi!$O$9-Konvergensi!$G$194;2);PANGKAT(Normalisasi!$P$9-Konvergensi!$H$194;2)))</f>
        <v/>
      </c>
      <c r="D213">
        <f>AKAR(JUMLAH(PANGKAT(Normalisasi!$J$9-Konvergensi!$B$195;2);PANGKAT(Normalisasi!$K$9-Konvergensi!$C$195;2);PANGKAT(Normalisasi!$L$9-Konvergensi!$D$195;2);PANGKAT(Normalisasi!$M$9-Konvergensi!$E$195;2);PANGKAT(Normalisasi!$N$9-Konvergensi!$F$195;2);PANGKAT(Normalisasi!$O$9-Konvergensi!$G$195;2);PANGKAT(Normalisasi!$P$9-Konvergensi!$H$195;2)))</f>
        <v/>
      </c>
      <c r="E213">
        <f>AKAR(JUMLAH(PANGKAT(Normalisasi!$J$9-Konvergensi!$B$196;2);PANGKAT(Normalisasi!$K$9-Konvergensi!$C$196;2);PANGKAT(Normalisasi!$L$9-Konvergensi!$D$196;2);PANGKAT(Normalisasi!$M$9-Konvergensi!$E$196;2);PANGKAT(Normalisasi!$N$9-Konvergensi!$F$196;2);PANGKAT(Normalisasi!$O$9-Konvergensi!$G$196;2);PANGKAT(Normalisasi!$P$9-Konvergensi!$H$196;2)))</f>
        <v/>
      </c>
      <c r="F213">
        <f>JIKA(C213&lt;=D213;=JIKA(C213&lt;=E213;0;2);=JIKA(D213&lt;=E213;1;2))</f>
        <v/>
      </c>
      <c r="G213">
        <f>JUMLAH(JIKA(F213=0;JUMLAH(PANGKAT(Normalisasi!$J$9-Konvergensi!$B$259;2);PANGKAT(Normalisasi!$K$9-Konvergensi!$C$259;2);PANGKAT(Normalisasi!$L$9-Konvergensi!$D$259;2);PANGKAT(Normalisasi!$M$9-Konvergensi!$E$259;2);PANGKAT(Normalisasi!$N$9-Konvergensi!$F$259;2);PANGKAT(Normalisasi!$O$9-Konvergensi!$G$259;2);PANGKAT(Normalisasi!$P$9-Konvergensi!$H$259;2));0);JIKA(F213=1;JUMLAH(PANGKAT(Normalisasi!$J$9-Konvergensi!$B$260;2);PANGKAT(Normalisasi!$K$9-Konvergensi!$C$260;2);PANGKAT(Normalisasi!$L$9-Konvergensi!$D$260;2);PANGKAT(Normalisasi!$M$9-Konvergensi!$E$260;2);PANGKAT(Normalisasi!$N$9-Konvergensi!$F$260;2);PANGKAT(Normalisasi!$O$9-Konvergensi!$G$260;2);PANGKAT(Normalisasi!$P$9-Konvergensi!$H$260;2));0);JIKA(F213=2;JUMLAH(PANGKAT(Normalisasi!$J$9-Konvergensi!$B$261;2);PANGKAT(Normalisasi!$K$9-Konvergensi!$C$261;2);PANGKAT(Normalisasi!$L$9-Konvergensi!$D$261;2);PANGKAT(Normalisasi!$M$9-Konvergensi!$E$261;2);PANGKAT(Normalisasi!$N$9-Konvergensi!$F$261;2);PANGKAT(Normalisasi!$O$9-Konvergensi!$G$261;2);PANGKAT(Normalisasi!$P$9-Konvergensi!$H$261;2));0))</f>
        <v/>
      </c>
      <c r="H213" t="n">
        <v>1</v>
      </c>
      <c r="I213" t="n">
        <v>6.846697401376302</v>
      </c>
    </row>
    <row r="214">
      <c r="A214">
        <f>Data_Awal!A10</f>
        <v/>
      </c>
      <c r="B214">
        <f>Data_Awal!B10</f>
        <v/>
      </c>
      <c r="C214">
        <f>AKAR(JUMLAH(PANGKAT(Normalisasi!$J$10-Konvergensi!$B$194;2);PANGKAT(Normalisasi!$K$10-Konvergensi!$C$194;2);PANGKAT(Normalisasi!$L$10-Konvergensi!$D$194;2);PANGKAT(Normalisasi!$M$10-Konvergensi!$E$194;2);PANGKAT(Normalisasi!$N$10-Konvergensi!$F$194;2);PANGKAT(Normalisasi!$O$10-Konvergensi!$G$194;2);PANGKAT(Normalisasi!$P$10-Konvergensi!$H$194;2)))</f>
        <v/>
      </c>
      <c r="D214">
        <f>AKAR(JUMLAH(PANGKAT(Normalisasi!$J$10-Konvergensi!$B$195;2);PANGKAT(Normalisasi!$K$10-Konvergensi!$C$195;2);PANGKAT(Normalisasi!$L$10-Konvergensi!$D$195;2);PANGKAT(Normalisasi!$M$10-Konvergensi!$E$195;2);PANGKAT(Normalisasi!$N$10-Konvergensi!$F$195;2);PANGKAT(Normalisasi!$O$10-Konvergensi!$G$195;2);PANGKAT(Normalisasi!$P$10-Konvergensi!$H$195;2)))</f>
        <v/>
      </c>
      <c r="E214">
        <f>AKAR(JUMLAH(PANGKAT(Normalisasi!$J$10-Konvergensi!$B$196;2);PANGKAT(Normalisasi!$K$10-Konvergensi!$C$196;2);PANGKAT(Normalisasi!$L$10-Konvergensi!$D$196;2);PANGKAT(Normalisasi!$M$10-Konvergensi!$E$196;2);PANGKAT(Normalisasi!$N$10-Konvergensi!$F$196;2);PANGKAT(Normalisasi!$O$10-Konvergensi!$G$196;2);PANGKAT(Normalisasi!$P$10-Konvergensi!$H$196;2)))</f>
        <v/>
      </c>
      <c r="F214">
        <f>JIKA(C214&lt;=D214;=JIKA(C214&lt;=E214;0;2);=JIKA(D214&lt;=E214;1;2))</f>
        <v/>
      </c>
      <c r="G214">
        <f>JUMLAH(JIKA(F214=0;JUMLAH(PANGKAT(Normalisasi!$J$10-Konvergensi!$B$259;2);PANGKAT(Normalisasi!$K$10-Konvergensi!$C$259;2);PANGKAT(Normalisasi!$L$10-Konvergensi!$D$259;2);PANGKAT(Normalisasi!$M$10-Konvergensi!$E$259;2);PANGKAT(Normalisasi!$N$10-Konvergensi!$F$259;2);PANGKAT(Normalisasi!$O$10-Konvergensi!$G$259;2);PANGKAT(Normalisasi!$P$10-Konvergensi!$H$259;2));0);JIKA(F214=1;JUMLAH(PANGKAT(Normalisasi!$J$10-Konvergensi!$B$260;2);PANGKAT(Normalisasi!$K$10-Konvergensi!$C$260;2);PANGKAT(Normalisasi!$L$10-Konvergensi!$D$260;2);PANGKAT(Normalisasi!$M$10-Konvergensi!$E$260;2);PANGKAT(Normalisasi!$N$10-Konvergensi!$F$260;2);PANGKAT(Normalisasi!$O$10-Konvergensi!$G$260;2);PANGKAT(Normalisasi!$P$10-Konvergensi!$H$260;2));0);JIKA(F214=2;JUMLAH(PANGKAT(Normalisasi!$J$10-Konvergensi!$B$261;2);PANGKAT(Normalisasi!$K$10-Konvergensi!$C$261;2);PANGKAT(Normalisasi!$L$10-Konvergensi!$D$261;2);PANGKAT(Normalisasi!$M$10-Konvergensi!$E$261;2);PANGKAT(Normalisasi!$N$10-Konvergensi!$F$261;2);PANGKAT(Normalisasi!$O$10-Konvergensi!$G$261;2);PANGKAT(Normalisasi!$P$10-Konvergensi!$H$261;2));0))</f>
        <v/>
      </c>
      <c r="H214" t="n">
        <v>0</v>
      </c>
      <c r="I214" t="n">
        <v>4.559172535707264</v>
      </c>
    </row>
    <row r="215">
      <c r="A215">
        <f>Data_Awal!A11</f>
        <v/>
      </c>
      <c r="B215">
        <f>Data_Awal!B11</f>
        <v/>
      </c>
      <c r="C215">
        <f>AKAR(JUMLAH(PANGKAT(Normalisasi!$J$11-Konvergensi!$B$194;2);PANGKAT(Normalisasi!$K$11-Konvergensi!$C$194;2);PANGKAT(Normalisasi!$L$11-Konvergensi!$D$194;2);PANGKAT(Normalisasi!$M$11-Konvergensi!$E$194;2);PANGKAT(Normalisasi!$N$11-Konvergensi!$F$194;2);PANGKAT(Normalisasi!$O$11-Konvergensi!$G$194;2);PANGKAT(Normalisasi!$P$11-Konvergensi!$H$194;2)))</f>
        <v/>
      </c>
      <c r="D215">
        <f>AKAR(JUMLAH(PANGKAT(Normalisasi!$J$11-Konvergensi!$B$195;2);PANGKAT(Normalisasi!$K$11-Konvergensi!$C$195;2);PANGKAT(Normalisasi!$L$11-Konvergensi!$D$195;2);PANGKAT(Normalisasi!$M$11-Konvergensi!$E$195;2);PANGKAT(Normalisasi!$N$11-Konvergensi!$F$195;2);PANGKAT(Normalisasi!$O$11-Konvergensi!$G$195;2);PANGKAT(Normalisasi!$P$11-Konvergensi!$H$195;2)))</f>
        <v/>
      </c>
      <c r="E215">
        <f>AKAR(JUMLAH(PANGKAT(Normalisasi!$J$11-Konvergensi!$B$196;2);PANGKAT(Normalisasi!$K$11-Konvergensi!$C$196;2);PANGKAT(Normalisasi!$L$11-Konvergensi!$D$196;2);PANGKAT(Normalisasi!$M$11-Konvergensi!$E$196;2);PANGKAT(Normalisasi!$N$11-Konvergensi!$F$196;2);PANGKAT(Normalisasi!$O$11-Konvergensi!$G$196;2);PANGKAT(Normalisasi!$P$11-Konvergensi!$H$196;2)))</f>
        <v/>
      </c>
      <c r="F215">
        <f>JIKA(C215&lt;=D215;=JIKA(C215&lt;=E215;0;2);=JIKA(D215&lt;=E215;1;2))</f>
        <v/>
      </c>
      <c r="G215">
        <f>JUMLAH(JIKA(F215=0;JUMLAH(PANGKAT(Normalisasi!$J$11-Konvergensi!$B$259;2);PANGKAT(Normalisasi!$K$11-Konvergensi!$C$259;2);PANGKAT(Normalisasi!$L$11-Konvergensi!$D$259;2);PANGKAT(Normalisasi!$M$11-Konvergensi!$E$259;2);PANGKAT(Normalisasi!$N$11-Konvergensi!$F$259;2);PANGKAT(Normalisasi!$O$11-Konvergensi!$G$259;2);PANGKAT(Normalisasi!$P$11-Konvergensi!$H$259;2));0);JIKA(F215=1;JUMLAH(PANGKAT(Normalisasi!$J$11-Konvergensi!$B$260;2);PANGKAT(Normalisasi!$K$11-Konvergensi!$C$260;2);PANGKAT(Normalisasi!$L$11-Konvergensi!$D$260;2);PANGKAT(Normalisasi!$M$11-Konvergensi!$E$260;2);PANGKAT(Normalisasi!$N$11-Konvergensi!$F$260;2);PANGKAT(Normalisasi!$O$11-Konvergensi!$G$260;2);PANGKAT(Normalisasi!$P$11-Konvergensi!$H$260;2));0);JIKA(F215=2;JUMLAH(PANGKAT(Normalisasi!$J$11-Konvergensi!$B$261;2);PANGKAT(Normalisasi!$K$11-Konvergensi!$C$261;2);PANGKAT(Normalisasi!$L$11-Konvergensi!$D$261;2);PANGKAT(Normalisasi!$M$11-Konvergensi!$E$261;2);PANGKAT(Normalisasi!$N$11-Konvergensi!$F$261;2);PANGKAT(Normalisasi!$O$11-Konvergensi!$G$261;2);PANGKAT(Normalisasi!$P$11-Konvergensi!$H$261;2));0))</f>
        <v/>
      </c>
      <c r="H215" t="n">
        <v>1</v>
      </c>
      <c r="I215" t="n">
        <v>1.618477953833825</v>
      </c>
    </row>
    <row r="216">
      <c r="A216">
        <f>Data_Awal!A12</f>
        <v/>
      </c>
      <c r="B216">
        <f>Data_Awal!B12</f>
        <v/>
      </c>
      <c r="C216">
        <f>AKAR(JUMLAH(PANGKAT(Normalisasi!$J$12-Konvergensi!$B$194;2);PANGKAT(Normalisasi!$K$12-Konvergensi!$C$194;2);PANGKAT(Normalisasi!$L$12-Konvergensi!$D$194;2);PANGKAT(Normalisasi!$M$12-Konvergensi!$E$194;2);PANGKAT(Normalisasi!$N$12-Konvergensi!$F$194;2);PANGKAT(Normalisasi!$O$12-Konvergensi!$G$194;2);PANGKAT(Normalisasi!$P$12-Konvergensi!$H$194;2)))</f>
        <v/>
      </c>
      <c r="D216">
        <f>AKAR(JUMLAH(PANGKAT(Normalisasi!$J$12-Konvergensi!$B$195;2);PANGKAT(Normalisasi!$K$12-Konvergensi!$C$195;2);PANGKAT(Normalisasi!$L$12-Konvergensi!$D$195;2);PANGKAT(Normalisasi!$M$12-Konvergensi!$E$195;2);PANGKAT(Normalisasi!$N$12-Konvergensi!$F$195;2);PANGKAT(Normalisasi!$O$12-Konvergensi!$G$195;2);PANGKAT(Normalisasi!$P$12-Konvergensi!$H$195;2)))</f>
        <v/>
      </c>
      <c r="E216">
        <f>AKAR(JUMLAH(PANGKAT(Normalisasi!$J$12-Konvergensi!$B$196;2);PANGKAT(Normalisasi!$K$12-Konvergensi!$C$196;2);PANGKAT(Normalisasi!$L$12-Konvergensi!$D$196;2);PANGKAT(Normalisasi!$M$12-Konvergensi!$E$196;2);PANGKAT(Normalisasi!$N$12-Konvergensi!$F$196;2);PANGKAT(Normalisasi!$O$12-Konvergensi!$G$196;2);PANGKAT(Normalisasi!$P$12-Konvergensi!$H$196;2)))</f>
        <v/>
      </c>
      <c r="F216">
        <f>JIKA(C216&lt;=D216;=JIKA(C216&lt;=E216;0;2);=JIKA(D216&lt;=E216;1;2))</f>
        <v/>
      </c>
      <c r="G216">
        <f>JUMLAH(JIKA(F216=0;JUMLAH(PANGKAT(Normalisasi!$J$12-Konvergensi!$B$259;2);PANGKAT(Normalisasi!$K$12-Konvergensi!$C$259;2);PANGKAT(Normalisasi!$L$12-Konvergensi!$D$259;2);PANGKAT(Normalisasi!$M$12-Konvergensi!$E$259;2);PANGKAT(Normalisasi!$N$12-Konvergensi!$F$259;2);PANGKAT(Normalisasi!$O$12-Konvergensi!$G$259;2);PANGKAT(Normalisasi!$P$12-Konvergensi!$H$259;2));0);JIKA(F216=1;JUMLAH(PANGKAT(Normalisasi!$J$12-Konvergensi!$B$260;2);PANGKAT(Normalisasi!$K$12-Konvergensi!$C$260;2);PANGKAT(Normalisasi!$L$12-Konvergensi!$D$260;2);PANGKAT(Normalisasi!$M$12-Konvergensi!$E$260;2);PANGKAT(Normalisasi!$N$12-Konvergensi!$F$260;2);PANGKAT(Normalisasi!$O$12-Konvergensi!$G$260;2);PANGKAT(Normalisasi!$P$12-Konvergensi!$H$260;2));0);JIKA(F216=2;JUMLAH(PANGKAT(Normalisasi!$J$12-Konvergensi!$B$261;2);PANGKAT(Normalisasi!$K$12-Konvergensi!$C$261;2);PANGKAT(Normalisasi!$L$12-Konvergensi!$D$261;2);PANGKAT(Normalisasi!$M$12-Konvergensi!$E$261;2);PANGKAT(Normalisasi!$N$12-Konvergensi!$F$261;2);PANGKAT(Normalisasi!$O$12-Konvergensi!$G$261;2);PANGKAT(Normalisasi!$P$12-Konvergensi!$H$261;2));0))</f>
        <v/>
      </c>
      <c r="H216" t="n">
        <v>1</v>
      </c>
      <c r="I216" t="n">
        <v>7.96011614729661</v>
      </c>
    </row>
    <row r="217">
      <c r="A217">
        <f>Data_Awal!A13</f>
        <v/>
      </c>
      <c r="B217">
        <f>Data_Awal!B13</f>
        <v/>
      </c>
      <c r="C217">
        <f>AKAR(JUMLAH(PANGKAT(Normalisasi!$J$13-Konvergensi!$B$194;2);PANGKAT(Normalisasi!$K$13-Konvergensi!$C$194;2);PANGKAT(Normalisasi!$L$13-Konvergensi!$D$194;2);PANGKAT(Normalisasi!$M$13-Konvergensi!$E$194;2);PANGKAT(Normalisasi!$N$13-Konvergensi!$F$194;2);PANGKAT(Normalisasi!$O$13-Konvergensi!$G$194;2);PANGKAT(Normalisasi!$P$13-Konvergensi!$H$194;2)))</f>
        <v/>
      </c>
      <c r="D217">
        <f>AKAR(JUMLAH(PANGKAT(Normalisasi!$J$13-Konvergensi!$B$195;2);PANGKAT(Normalisasi!$K$13-Konvergensi!$C$195;2);PANGKAT(Normalisasi!$L$13-Konvergensi!$D$195;2);PANGKAT(Normalisasi!$M$13-Konvergensi!$E$195;2);PANGKAT(Normalisasi!$N$13-Konvergensi!$F$195;2);PANGKAT(Normalisasi!$O$13-Konvergensi!$G$195;2);PANGKAT(Normalisasi!$P$13-Konvergensi!$H$195;2)))</f>
        <v/>
      </c>
      <c r="E217">
        <f>AKAR(JUMLAH(PANGKAT(Normalisasi!$J$13-Konvergensi!$B$196;2);PANGKAT(Normalisasi!$K$13-Konvergensi!$C$196;2);PANGKAT(Normalisasi!$L$13-Konvergensi!$D$196;2);PANGKAT(Normalisasi!$M$13-Konvergensi!$E$196;2);PANGKAT(Normalisasi!$N$13-Konvergensi!$F$196;2);PANGKAT(Normalisasi!$O$13-Konvergensi!$G$196;2);PANGKAT(Normalisasi!$P$13-Konvergensi!$H$196;2)))</f>
        <v/>
      </c>
      <c r="F217">
        <f>JIKA(C217&lt;=D217;=JIKA(C217&lt;=E217;0;2);=JIKA(D217&lt;=E217;1;2))</f>
        <v/>
      </c>
      <c r="G217">
        <f>JUMLAH(JIKA(F217=0;JUMLAH(PANGKAT(Normalisasi!$J$13-Konvergensi!$B$259;2);PANGKAT(Normalisasi!$K$13-Konvergensi!$C$259;2);PANGKAT(Normalisasi!$L$13-Konvergensi!$D$259;2);PANGKAT(Normalisasi!$M$13-Konvergensi!$E$259;2);PANGKAT(Normalisasi!$N$13-Konvergensi!$F$259;2);PANGKAT(Normalisasi!$O$13-Konvergensi!$G$259;2);PANGKAT(Normalisasi!$P$13-Konvergensi!$H$259;2));0);JIKA(F217=1;JUMLAH(PANGKAT(Normalisasi!$J$13-Konvergensi!$B$260;2);PANGKAT(Normalisasi!$K$13-Konvergensi!$C$260;2);PANGKAT(Normalisasi!$L$13-Konvergensi!$D$260;2);PANGKAT(Normalisasi!$M$13-Konvergensi!$E$260;2);PANGKAT(Normalisasi!$N$13-Konvergensi!$F$260;2);PANGKAT(Normalisasi!$O$13-Konvergensi!$G$260;2);PANGKAT(Normalisasi!$P$13-Konvergensi!$H$260;2));0);JIKA(F217=2;JUMLAH(PANGKAT(Normalisasi!$J$13-Konvergensi!$B$261;2);PANGKAT(Normalisasi!$K$13-Konvergensi!$C$261;2);PANGKAT(Normalisasi!$L$13-Konvergensi!$D$261;2);PANGKAT(Normalisasi!$M$13-Konvergensi!$E$261;2);PANGKAT(Normalisasi!$N$13-Konvergensi!$F$261;2);PANGKAT(Normalisasi!$O$13-Konvergensi!$G$261;2);PANGKAT(Normalisasi!$P$13-Konvergensi!$H$261;2));0))</f>
        <v/>
      </c>
      <c r="H217" t="n">
        <v>1</v>
      </c>
      <c r="I217" t="n">
        <v>7.020823881391489</v>
      </c>
    </row>
    <row r="218">
      <c r="A218">
        <f>Data_Awal!A14</f>
        <v/>
      </c>
      <c r="B218">
        <f>Data_Awal!B14</f>
        <v/>
      </c>
      <c r="C218">
        <f>AKAR(JUMLAH(PANGKAT(Normalisasi!$J$14-Konvergensi!$B$194;2);PANGKAT(Normalisasi!$K$14-Konvergensi!$C$194;2);PANGKAT(Normalisasi!$L$14-Konvergensi!$D$194;2);PANGKAT(Normalisasi!$M$14-Konvergensi!$E$194;2);PANGKAT(Normalisasi!$N$14-Konvergensi!$F$194;2);PANGKAT(Normalisasi!$O$14-Konvergensi!$G$194;2);PANGKAT(Normalisasi!$P$14-Konvergensi!$H$194;2)))</f>
        <v/>
      </c>
      <c r="D218">
        <f>AKAR(JUMLAH(PANGKAT(Normalisasi!$J$14-Konvergensi!$B$195;2);PANGKAT(Normalisasi!$K$14-Konvergensi!$C$195;2);PANGKAT(Normalisasi!$L$14-Konvergensi!$D$195;2);PANGKAT(Normalisasi!$M$14-Konvergensi!$E$195;2);PANGKAT(Normalisasi!$N$14-Konvergensi!$F$195;2);PANGKAT(Normalisasi!$O$14-Konvergensi!$G$195;2);PANGKAT(Normalisasi!$P$14-Konvergensi!$H$195;2)))</f>
        <v/>
      </c>
      <c r="E218">
        <f>AKAR(JUMLAH(PANGKAT(Normalisasi!$J$14-Konvergensi!$B$196;2);PANGKAT(Normalisasi!$K$14-Konvergensi!$C$196;2);PANGKAT(Normalisasi!$L$14-Konvergensi!$D$196;2);PANGKAT(Normalisasi!$M$14-Konvergensi!$E$196;2);PANGKAT(Normalisasi!$N$14-Konvergensi!$F$196;2);PANGKAT(Normalisasi!$O$14-Konvergensi!$G$196;2);PANGKAT(Normalisasi!$P$14-Konvergensi!$H$196;2)))</f>
        <v/>
      </c>
      <c r="F218">
        <f>JIKA(C218&lt;=D218;=JIKA(C218&lt;=E218;0;2);=JIKA(D218&lt;=E218;1;2))</f>
        <v/>
      </c>
      <c r="G218">
        <f>JUMLAH(JIKA(F218=0;JUMLAH(PANGKAT(Normalisasi!$J$14-Konvergensi!$B$259;2);PANGKAT(Normalisasi!$K$14-Konvergensi!$C$259;2);PANGKAT(Normalisasi!$L$14-Konvergensi!$D$259;2);PANGKAT(Normalisasi!$M$14-Konvergensi!$E$259;2);PANGKAT(Normalisasi!$N$14-Konvergensi!$F$259;2);PANGKAT(Normalisasi!$O$14-Konvergensi!$G$259;2);PANGKAT(Normalisasi!$P$14-Konvergensi!$H$259;2));0);JIKA(F218=1;JUMLAH(PANGKAT(Normalisasi!$J$14-Konvergensi!$B$260;2);PANGKAT(Normalisasi!$K$14-Konvergensi!$C$260;2);PANGKAT(Normalisasi!$L$14-Konvergensi!$D$260;2);PANGKAT(Normalisasi!$M$14-Konvergensi!$E$260;2);PANGKAT(Normalisasi!$N$14-Konvergensi!$F$260;2);PANGKAT(Normalisasi!$O$14-Konvergensi!$G$260;2);PANGKAT(Normalisasi!$P$14-Konvergensi!$H$260;2));0);JIKA(F218=2;JUMLAH(PANGKAT(Normalisasi!$J$14-Konvergensi!$B$261;2);PANGKAT(Normalisasi!$K$14-Konvergensi!$C$261;2);PANGKAT(Normalisasi!$L$14-Konvergensi!$D$261;2);PANGKAT(Normalisasi!$M$14-Konvergensi!$E$261;2);PANGKAT(Normalisasi!$N$14-Konvergensi!$F$261;2);PANGKAT(Normalisasi!$O$14-Konvergensi!$G$261;2);PANGKAT(Normalisasi!$P$14-Konvergensi!$H$261;2));0))</f>
        <v/>
      </c>
      <c r="H218" t="n">
        <v>2</v>
      </c>
      <c r="I218" t="n">
        <v>3.959689576312689</v>
      </c>
    </row>
    <row r="219">
      <c r="A219">
        <f>Data_Awal!A15</f>
        <v/>
      </c>
      <c r="B219">
        <f>Data_Awal!B15</f>
        <v/>
      </c>
      <c r="C219">
        <f>AKAR(JUMLAH(PANGKAT(Normalisasi!$J$15-Konvergensi!$B$194;2);PANGKAT(Normalisasi!$K$15-Konvergensi!$C$194;2);PANGKAT(Normalisasi!$L$15-Konvergensi!$D$194;2);PANGKAT(Normalisasi!$M$15-Konvergensi!$E$194;2);PANGKAT(Normalisasi!$N$15-Konvergensi!$F$194;2);PANGKAT(Normalisasi!$O$15-Konvergensi!$G$194;2);PANGKAT(Normalisasi!$P$15-Konvergensi!$H$194;2)))</f>
        <v/>
      </c>
      <c r="D219">
        <f>AKAR(JUMLAH(PANGKAT(Normalisasi!$J$15-Konvergensi!$B$195;2);PANGKAT(Normalisasi!$K$15-Konvergensi!$C$195;2);PANGKAT(Normalisasi!$L$15-Konvergensi!$D$195;2);PANGKAT(Normalisasi!$M$15-Konvergensi!$E$195;2);PANGKAT(Normalisasi!$N$15-Konvergensi!$F$195;2);PANGKAT(Normalisasi!$O$15-Konvergensi!$G$195;2);PANGKAT(Normalisasi!$P$15-Konvergensi!$H$195;2)))</f>
        <v/>
      </c>
      <c r="E219">
        <f>AKAR(JUMLAH(PANGKAT(Normalisasi!$J$15-Konvergensi!$B$196;2);PANGKAT(Normalisasi!$K$15-Konvergensi!$C$196;2);PANGKAT(Normalisasi!$L$15-Konvergensi!$D$196;2);PANGKAT(Normalisasi!$M$15-Konvergensi!$E$196;2);PANGKAT(Normalisasi!$N$15-Konvergensi!$F$196;2);PANGKAT(Normalisasi!$O$15-Konvergensi!$G$196;2);PANGKAT(Normalisasi!$P$15-Konvergensi!$H$196;2)))</f>
        <v/>
      </c>
      <c r="F219">
        <f>JIKA(C219&lt;=D219;=JIKA(C219&lt;=E219;0;2);=JIKA(D219&lt;=E219;1;2))</f>
        <v/>
      </c>
      <c r="G219">
        <f>JUMLAH(JIKA(F219=0;JUMLAH(PANGKAT(Normalisasi!$J$15-Konvergensi!$B$259;2);PANGKAT(Normalisasi!$K$15-Konvergensi!$C$259;2);PANGKAT(Normalisasi!$L$15-Konvergensi!$D$259;2);PANGKAT(Normalisasi!$M$15-Konvergensi!$E$259;2);PANGKAT(Normalisasi!$N$15-Konvergensi!$F$259;2);PANGKAT(Normalisasi!$O$15-Konvergensi!$G$259;2);PANGKAT(Normalisasi!$P$15-Konvergensi!$H$259;2));0);JIKA(F219=1;JUMLAH(PANGKAT(Normalisasi!$J$15-Konvergensi!$B$260;2);PANGKAT(Normalisasi!$K$15-Konvergensi!$C$260;2);PANGKAT(Normalisasi!$L$15-Konvergensi!$D$260;2);PANGKAT(Normalisasi!$M$15-Konvergensi!$E$260;2);PANGKAT(Normalisasi!$N$15-Konvergensi!$F$260;2);PANGKAT(Normalisasi!$O$15-Konvergensi!$G$260;2);PANGKAT(Normalisasi!$P$15-Konvergensi!$H$260;2));0);JIKA(F219=2;JUMLAH(PANGKAT(Normalisasi!$J$15-Konvergensi!$B$261;2);PANGKAT(Normalisasi!$K$15-Konvergensi!$C$261;2);PANGKAT(Normalisasi!$L$15-Konvergensi!$D$261;2);PANGKAT(Normalisasi!$M$15-Konvergensi!$E$261;2);PANGKAT(Normalisasi!$N$15-Konvergensi!$F$261;2);PANGKAT(Normalisasi!$O$15-Konvergensi!$G$261;2);PANGKAT(Normalisasi!$P$15-Konvergensi!$H$261;2));0))</f>
        <v/>
      </c>
      <c r="H219" t="n">
        <v>0</v>
      </c>
      <c r="I219" t="n">
        <v>4.305584726674813</v>
      </c>
    </row>
    <row r="220">
      <c r="A220">
        <f>Data_Awal!A16</f>
        <v/>
      </c>
      <c r="B220">
        <f>Data_Awal!B16</f>
        <v/>
      </c>
      <c r="C220">
        <f>AKAR(JUMLAH(PANGKAT(Normalisasi!$J$16-Konvergensi!$B$194;2);PANGKAT(Normalisasi!$K$16-Konvergensi!$C$194;2);PANGKAT(Normalisasi!$L$16-Konvergensi!$D$194;2);PANGKAT(Normalisasi!$M$16-Konvergensi!$E$194;2);PANGKAT(Normalisasi!$N$16-Konvergensi!$F$194;2);PANGKAT(Normalisasi!$O$16-Konvergensi!$G$194;2);PANGKAT(Normalisasi!$P$16-Konvergensi!$H$194;2)))</f>
        <v/>
      </c>
      <c r="D220">
        <f>AKAR(JUMLAH(PANGKAT(Normalisasi!$J$16-Konvergensi!$B$195;2);PANGKAT(Normalisasi!$K$16-Konvergensi!$C$195;2);PANGKAT(Normalisasi!$L$16-Konvergensi!$D$195;2);PANGKAT(Normalisasi!$M$16-Konvergensi!$E$195;2);PANGKAT(Normalisasi!$N$16-Konvergensi!$F$195;2);PANGKAT(Normalisasi!$O$16-Konvergensi!$G$195;2);PANGKAT(Normalisasi!$P$16-Konvergensi!$H$195;2)))</f>
        <v/>
      </c>
      <c r="E220">
        <f>AKAR(JUMLAH(PANGKAT(Normalisasi!$J$16-Konvergensi!$B$196;2);PANGKAT(Normalisasi!$K$16-Konvergensi!$C$196;2);PANGKAT(Normalisasi!$L$16-Konvergensi!$D$196;2);PANGKAT(Normalisasi!$M$16-Konvergensi!$E$196;2);PANGKAT(Normalisasi!$N$16-Konvergensi!$F$196;2);PANGKAT(Normalisasi!$O$16-Konvergensi!$G$196;2);PANGKAT(Normalisasi!$P$16-Konvergensi!$H$196;2)))</f>
        <v/>
      </c>
      <c r="F220">
        <f>JIKA(C220&lt;=D220;=JIKA(C220&lt;=E220;0;2);=JIKA(D220&lt;=E220;1;2))</f>
        <v/>
      </c>
      <c r="G220">
        <f>JUMLAH(JIKA(F220=0;JUMLAH(PANGKAT(Normalisasi!$J$16-Konvergensi!$B$259;2);PANGKAT(Normalisasi!$K$16-Konvergensi!$C$259;2);PANGKAT(Normalisasi!$L$16-Konvergensi!$D$259;2);PANGKAT(Normalisasi!$M$16-Konvergensi!$E$259;2);PANGKAT(Normalisasi!$N$16-Konvergensi!$F$259;2);PANGKAT(Normalisasi!$O$16-Konvergensi!$G$259;2);PANGKAT(Normalisasi!$P$16-Konvergensi!$H$259;2));0);JIKA(F220=1;JUMLAH(PANGKAT(Normalisasi!$J$16-Konvergensi!$B$260;2);PANGKAT(Normalisasi!$K$16-Konvergensi!$C$260;2);PANGKAT(Normalisasi!$L$16-Konvergensi!$D$260;2);PANGKAT(Normalisasi!$M$16-Konvergensi!$E$260;2);PANGKAT(Normalisasi!$N$16-Konvergensi!$F$260;2);PANGKAT(Normalisasi!$O$16-Konvergensi!$G$260;2);PANGKAT(Normalisasi!$P$16-Konvergensi!$H$260;2));0);JIKA(F220=2;JUMLAH(PANGKAT(Normalisasi!$J$16-Konvergensi!$B$261;2);PANGKAT(Normalisasi!$K$16-Konvergensi!$C$261;2);PANGKAT(Normalisasi!$L$16-Konvergensi!$D$261;2);PANGKAT(Normalisasi!$M$16-Konvergensi!$E$261;2);PANGKAT(Normalisasi!$N$16-Konvergensi!$F$261;2);PANGKAT(Normalisasi!$O$16-Konvergensi!$G$261;2);PANGKAT(Normalisasi!$P$16-Konvergensi!$H$261;2));0))</f>
        <v/>
      </c>
      <c r="H220" t="n">
        <v>1</v>
      </c>
      <c r="I220" t="n">
        <v>7.769736498415128</v>
      </c>
    </row>
    <row r="221">
      <c r="A221">
        <f>Data_Awal!A17</f>
        <v/>
      </c>
      <c r="B221">
        <f>Data_Awal!B17</f>
        <v/>
      </c>
      <c r="C221">
        <f>AKAR(JUMLAH(PANGKAT(Normalisasi!$J$17-Konvergensi!$B$194;2);PANGKAT(Normalisasi!$K$17-Konvergensi!$C$194;2);PANGKAT(Normalisasi!$L$17-Konvergensi!$D$194;2);PANGKAT(Normalisasi!$M$17-Konvergensi!$E$194;2);PANGKAT(Normalisasi!$N$17-Konvergensi!$F$194;2);PANGKAT(Normalisasi!$O$17-Konvergensi!$G$194;2);PANGKAT(Normalisasi!$P$17-Konvergensi!$H$194;2)))</f>
        <v/>
      </c>
      <c r="D221">
        <f>AKAR(JUMLAH(PANGKAT(Normalisasi!$J$17-Konvergensi!$B$195;2);PANGKAT(Normalisasi!$K$17-Konvergensi!$C$195;2);PANGKAT(Normalisasi!$L$17-Konvergensi!$D$195;2);PANGKAT(Normalisasi!$M$17-Konvergensi!$E$195;2);PANGKAT(Normalisasi!$N$17-Konvergensi!$F$195;2);PANGKAT(Normalisasi!$O$17-Konvergensi!$G$195;2);PANGKAT(Normalisasi!$P$17-Konvergensi!$H$195;2)))</f>
        <v/>
      </c>
      <c r="E221">
        <f>AKAR(JUMLAH(PANGKAT(Normalisasi!$J$17-Konvergensi!$B$196;2);PANGKAT(Normalisasi!$K$17-Konvergensi!$C$196;2);PANGKAT(Normalisasi!$L$17-Konvergensi!$D$196;2);PANGKAT(Normalisasi!$M$17-Konvergensi!$E$196;2);PANGKAT(Normalisasi!$N$17-Konvergensi!$F$196;2);PANGKAT(Normalisasi!$O$17-Konvergensi!$G$196;2);PANGKAT(Normalisasi!$P$17-Konvergensi!$H$196;2)))</f>
        <v/>
      </c>
      <c r="F221">
        <f>JIKA(C221&lt;=D221;=JIKA(C221&lt;=E221;0;2);=JIKA(D221&lt;=E221;1;2))</f>
        <v/>
      </c>
      <c r="G221">
        <f>JUMLAH(JIKA(F221=0;JUMLAH(PANGKAT(Normalisasi!$J$17-Konvergensi!$B$259;2);PANGKAT(Normalisasi!$K$17-Konvergensi!$C$259;2);PANGKAT(Normalisasi!$L$17-Konvergensi!$D$259;2);PANGKAT(Normalisasi!$M$17-Konvergensi!$E$259;2);PANGKAT(Normalisasi!$N$17-Konvergensi!$F$259;2);PANGKAT(Normalisasi!$O$17-Konvergensi!$G$259;2);PANGKAT(Normalisasi!$P$17-Konvergensi!$H$259;2));0);JIKA(F221=1;JUMLAH(PANGKAT(Normalisasi!$J$17-Konvergensi!$B$260;2);PANGKAT(Normalisasi!$K$17-Konvergensi!$C$260;2);PANGKAT(Normalisasi!$L$17-Konvergensi!$D$260;2);PANGKAT(Normalisasi!$M$17-Konvergensi!$E$260;2);PANGKAT(Normalisasi!$N$17-Konvergensi!$F$260;2);PANGKAT(Normalisasi!$O$17-Konvergensi!$G$260;2);PANGKAT(Normalisasi!$P$17-Konvergensi!$H$260;2));0);JIKA(F221=2;JUMLAH(PANGKAT(Normalisasi!$J$17-Konvergensi!$B$261;2);PANGKAT(Normalisasi!$K$17-Konvergensi!$C$261;2);PANGKAT(Normalisasi!$L$17-Konvergensi!$D$261;2);PANGKAT(Normalisasi!$M$17-Konvergensi!$E$261;2);PANGKAT(Normalisasi!$N$17-Konvergensi!$F$261;2);PANGKAT(Normalisasi!$O$17-Konvergensi!$G$261;2);PANGKAT(Normalisasi!$P$17-Konvergensi!$H$261;2));0))</f>
        <v/>
      </c>
      <c r="H221" t="n">
        <v>1</v>
      </c>
      <c r="I221" t="n">
        <v>3.516929456132632</v>
      </c>
    </row>
    <row r="222">
      <c r="A222">
        <f>Data_Awal!A18</f>
        <v/>
      </c>
      <c r="B222">
        <f>Data_Awal!B18</f>
        <v/>
      </c>
      <c r="C222">
        <f>AKAR(JUMLAH(PANGKAT(Normalisasi!$J$18-Konvergensi!$B$194;2);PANGKAT(Normalisasi!$K$18-Konvergensi!$C$194;2);PANGKAT(Normalisasi!$L$18-Konvergensi!$D$194;2);PANGKAT(Normalisasi!$M$18-Konvergensi!$E$194;2);PANGKAT(Normalisasi!$N$18-Konvergensi!$F$194;2);PANGKAT(Normalisasi!$O$18-Konvergensi!$G$194;2);PANGKAT(Normalisasi!$P$18-Konvergensi!$H$194;2)))</f>
        <v/>
      </c>
      <c r="D222">
        <f>AKAR(JUMLAH(PANGKAT(Normalisasi!$J$18-Konvergensi!$B$195;2);PANGKAT(Normalisasi!$K$18-Konvergensi!$C$195;2);PANGKAT(Normalisasi!$L$18-Konvergensi!$D$195;2);PANGKAT(Normalisasi!$M$18-Konvergensi!$E$195;2);PANGKAT(Normalisasi!$N$18-Konvergensi!$F$195;2);PANGKAT(Normalisasi!$O$18-Konvergensi!$G$195;2);PANGKAT(Normalisasi!$P$18-Konvergensi!$H$195;2)))</f>
        <v/>
      </c>
      <c r="E222">
        <f>AKAR(JUMLAH(PANGKAT(Normalisasi!$J$18-Konvergensi!$B$196;2);PANGKAT(Normalisasi!$K$18-Konvergensi!$C$196;2);PANGKAT(Normalisasi!$L$18-Konvergensi!$D$196;2);PANGKAT(Normalisasi!$M$18-Konvergensi!$E$196;2);PANGKAT(Normalisasi!$N$18-Konvergensi!$F$196;2);PANGKAT(Normalisasi!$O$18-Konvergensi!$G$196;2);PANGKAT(Normalisasi!$P$18-Konvergensi!$H$196;2)))</f>
        <v/>
      </c>
      <c r="F222">
        <f>JIKA(C222&lt;=D222;=JIKA(C222&lt;=E222;0;2);=JIKA(D222&lt;=E222;1;2))</f>
        <v/>
      </c>
      <c r="G222">
        <f>JUMLAH(JIKA(F222=0;JUMLAH(PANGKAT(Normalisasi!$J$18-Konvergensi!$B$259;2);PANGKAT(Normalisasi!$K$18-Konvergensi!$C$259;2);PANGKAT(Normalisasi!$L$18-Konvergensi!$D$259;2);PANGKAT(Normalisasi!$M$18-Konvergensi!$E$259;2);PANGKAT(Normalisasi!$N$18-Konvergensi!$F$259;2);PANGKAT(Normalisasi!$O$18-Konvergensi!$G$259;2);PANGKAT(Normalisasi!$P$18-Konvergensi!$H$259;2));0);JIKA(F222=1;JUMLAH(PANGKAT(Normalisasi!$J$18-Konvergensi!$B$260;2);PANGKAT(Normalisasi!$K$18-Konvergensi!$C$260;2);PANGKAT(Normalisasi!$L$18-Konvergensi!$D$260;2);PANGKAT(Normalisasi!$M$18-Konvergensi!$E$260;2);PANGKAT(Normalisasi!$N$18-Konvergensi!$F$260;2);PANGKAT(Normalisasi!$O$18-Konvergensi!$G$260;2);PANGKAT(Normalisasi!$P$18-Konvergensi!$H$260;2));0);JIKA(F222=2;JUMLAH(PANGKAT(Normalisasi!$J$18-Konvergensi!$B$261;2);PANGKAT(Normalisasi!$K$18-Konvergensi!$C$261;2);PANGKAT(Normalisasi!$L$18-Konvergensi!$D$261;2);PANGKAT(Normalisasi!$M$18-Konvergensi!$E$261;2);PANGKAT(Normalisasi!$N$18-Konvergensi!$F$261;2);PANGKAT(Normalisasi!$O$18-Konvergensi!$G$261;2);PANGKAT(Normalisasi!$P$18-Konvergensi!$H$261;2));0))</f>
        <v/>
      </c>
      <c r="H222" t="n">
        <v>0</v>
      </c>
      <c r="I222" t="n">
        <v>6.566694634019049</v>
      </c>
    </row>
    <row r="223">
      <c r="A223">
        <f>Data_Awal!A19</f>
        <v/>
      </c>
      <c r="B223">
        <f>Data_Awal!B19</f>
        <v/>
      </c>
      <c r="C223">
        <f>AKAR(JUMLAH(PANGKAT(Normalisasi!$J$19-Konvergensi!$B$194;2);PANGKAT(Normalisasi!$K$19-Konvergensi!$C$194;2);PANGKAT(Normalisasi!$L$19-Konvergensi!$D$194;2);PANGKAT(Normalisasi!$M$19-Konvergensi!$E$194;2);PANGKAT(Normalisasi!$N$19-Konvergensi!$F$194;2);PANGKAT(Normalisasi!$O$19-Konvergensi!$G$194;2);PANGKAT(Normalisasi!$P$19-Konvergensi!$H$194;2)))</f>
        <v/>
      </c>
      <c r="D223">
        <f>AKAR(JUMLAH(PANGKAT(Normalisasi!$J$19-Konvergensi!$B$195;2);PANGKAT(Normalisasi!$K$19-Konvergensi!$C$195;2);PANGKAT(Normalisasi!$L$19-Konvergensi!$D$195;2);PANGKAT(Normalisasi!$M$19-Konvergensi!$E$195;2);PANGKAT(Normalisasi!$N$19-Konvergensi!$F$195;2);PANGKAT(Normalisasi!$O$19-Konvergensi!$G$195;2);PANGKAT(Normalisasi!$P$19-Konvergensi!$H$195;2)))</f>
        <v/>
      </c>
      <c r="E223">
        <f>AKAR(JUMLAH(PANGKAT(Normalisasi!$J$19-Konvergensi!$B$196;2);PANGKAT(Normalisasi!$K$19-Konvergensi!$C$196;2);PANGKAT(Normalisasi!$L$19-Konvergensi!$D$196;2);PANGKAT(Normalisasi!$M$19-Konvergensi!$E$196;2);PANGKAT(Normalisasi!$N$19-Konvergensi!$F$196;2);PANGKAT(Normalisasi!$O$19-Konvergensi!$G$196;2);PANGKAT(Normalisasi!$P$19-Konvergensi!$H$196;2)))</f>
        <v/>
      </c>
      <c r="F223">
        <f>JIKA(C223&lt;=D223;=JIKA(C223&lt;=E223;0;2);=JIKA(D223&lt;=E223;1;2))</f>
        <v/>
      </c>
      <c r="G223">
        <f>JUMLAH(JIKA(F223=0;JUMLAH(PANGKAT(Normalisasi!$J$19-Konvergensi!$B$259;2);PANGKAT(Normalisasi!$K$19-Konvergensi!$C$259;2);PANGKAT(Normalisasi!$L$19-Konvergensi!$D$259;2);PANGKAT(Normalisasi!$M$19-Konvergensi!$E$259;2);PANGKAT(Normalisasi!$N$19-Konvergensi!$F$259;2);PANGKAT(Normalisasi!$O$19-Konvergensi!$G$259;2);PANGKAT(Normalisasi!$P$19-Konvergensi!$H$259;2));0);JIKA(F223=1;JUMLAH(PANGKAT(Normalisasi!$J$19-Konvergensi!$B$260;2);PANGKAT(Normalisasi!$K$19-Konvergensi!$C$260;2);PANGKAT(Normalisasi!$L$19-Konvergensi!$D$260;2);PANGKAT(Normalisasi!$M$19-Konvergensi!$E$260;2);PANGKAT(Normalisasi!$N$19-Konvergensi!$F$260;2);PANGKAT(Normalisasi!$O$19-Konvergensi!$G$260;2);PANGKAT(Normalisasi!$P$19-Konvergensi!$H$260;2));0);JIKA(F223=2;JUMLAH(PANGKAT(Normalisasi!$J$19-Konvergensi!$B$261;2);PANGKAT(Normalisasi!$K$19-Konvergensi!$C$261;2);PANGKAT(Normalisasi!$L$19-Konvergensi!$D$261;2);PANGKAT(Normalisasi!$M$19-Konvergensi!$E$261;2);PANGKAT(Normalisasi!$N$19-Konvergensi!$F$261;2);PANGKAT(Normalisasi!$O$19-Konvergensi!$G$261;2);PANGKAT(Normalisasi!$P$19-Konvergensi!$H$261;2));0))</f>
        <v/>
      </c>
      <c r="H223" t="n">
        <v>0</v>
      </c>
      <c r="I223" t="n">
        <v>2.596195235351908</v>
      </c>
    </row>
    <row r="224">
      <c r="A224">
        <f>Data_Awal!A20</f>
        <v/>
      </c>
      <c r="B224">
        <f>Data_Awal!B20</f>
        <v/>
      </c>
      <c r="C224">
        <f>AKAR(JUMLAH(PANGKAT(Normalisasi!$J$20-Konvergensi!$B$194;2);PANGKAT(Normalisasi!$K$20-Konvergensi!$C$194;2);PANGKAT(Normalisasi!$L$20-Konvergensi!$D$194;2);PANGKAT(Normalisasi!$M$20-Konvergensi!$E$194;2);PANGKAT(Normalisasi!$N$20-Konvergensi!$F$194;2);PANGKAT(Normalisasi!$O$20-Konvergensi!$G$194;2);PANGKAT(Normalisasi!$P$20-Konvergensi!$H$194;2)))</f>
        <v/>
      </c>
      <c r="D224">
        <f>AKAR(JUMLAH(PANGKAT(Normalisasi!$J$20-Konvergensi!$B$195;2);PANGKAT(Normalisasi!$K$20-Konvergensi!$C$195;2);PANGKAT(Normalisasi!$L$20-Konvergensi!$D$195;2);PANGKAT(Normalisasi!$M$20-Konvergensi!$E$195;2);PANGKAT(Normalisasi!$N$20-Konvergensi!$F$195;2);PANGKAT(Normalisasi!$O$20-Konvergensi!$G$195;2);PANGKAT(Normalisasi!$P$20-Konvergensi!$H$195;2)))</f>
        <v/>
      </c>
      <c r="E224">
        <f>AKAR(JUMLAH(PANGKAT(Normalisasi!$J$20-Konvergensi!$B$196;2);PANGKAT(Normalisasi!$K$20-Konvergensi!$C$196;2);PANGKAT(Normalisasi!$L$20-Konvergensi!$D$196;2);PANGKAT(Normalisasi!$M$20-Konvergensi!$E$196;2);PANGKAT(Normalisasi!$N$20-Konvergensi!$F$196;2);PANGKAT(Normalisasi!$O$20-Konvergensi!$G$196;2);PANGKAT(Normalisasi!$P$20-Konvergensi!$H$196;2)))</f>
        <v/>
      </c>
      <c r="F224">
        <f>JIKA(C224&lt;=D224;=JIKA(C224&lt;=E224;0;2);=JIKA(D224&lt;=E224;1;2))</f>
        <v/>
      </c>
      <c r="G224">
        <f>JUMLAH(JIKA(F224=0;JUMLAH(PANGKAT(Normalisasi!$J$20-Konvergensi!$B$259;2);PANGKAT(Normalisasi!$K$20-Konvergensi!$C$259;2);PANGKAT(Normalisasi!$L$20-Konvergensi!$D$259;2);PANGKAT(Normalisasi!$M$20-Konvergensi!$E$259;2);PANGKAT(Normalisasi!$N$20-Konvergensi!$F$259;2);PANGKAT(Normalisasi!$O$20-Konvergensi!$G$259;2);PANGKAT(Normalisasi!$P$20-Konvergensi!$H$259;2));0);JIKA(F224=1;JUMLAH(PANGKAT(Normalisasi!$J$20-Konvergensi!$B$260;2);PANGKAT(Normalisasi!$K$20-Konvergensi!$C$260;2);PANGKAT(Normalisasi!$L$20-Konvergensi!$D$260;2);PANGKAT(Normalisasi!$M$20-Konvergensi!$E$260;2);PANGKAT(Normalisasi!$N$20-Konvergensi!$F$260;2);PANGKAT(Normalisasi!$O$20-Konvergensi!$G$260;2);PANGKAT(Normalisasi!$P$20-Konvergensi!$H$260;2));0);JIKA(F224=2;JUMLAH(PANGKAT(Normalisasi!$J$20-Konvergensi!$B$261;2);PANGKAT(Normalisasi!$K$20-Konvergensi!$C$261;2);PANGKAT(Normalisasi!$L$20-Konvergensi!$D$261;2);PANGKAT(Normalisasi!$M$20-Konvergensi!$E$261;2);PANGKAT(Normalisasi!$N$20-Konvergensi!$F$261;2);PANGKAT(Normalisasi!$O$20-Konvergensi!$G$261;2);PANGKAT(Normalisasi!$P$20-Konvergensi!$H$261;2));0))</f>
        <v/>
      </c>
      <c r="H224" t="n">
        <v>0</v>
      </c>
      <c r="I224" t="n">
        <v>6.091886246519658</v>
      </c>
    </row>
    <row r="225">
      <c r="A225">
        <f>Data_Awal!A21</f>
        <v/>
      </c>
      <c r="B225">
        <f>Data_Awal!B21</f>
        <v/>
      </c>
      <c r="C225">
        <f>AKAR(JUMLAH(PANGKAT(Normalisasi!$J$21-Konvergensi!$B$194;2);PANGKAT(Normalisasi!$K$21-Konvergensi!$C$194;2);PANGKAT(Normalisasi!$L$21-Konvergensi!$D$194;2);PANGKAT(Normalisasi!$M$21-Konvergensi!$E$194;2);PANGKAT(Normalisasi!$N$21-Konvergensi!$F$194;2);PANGKAT(Normalisasi!$O$21-Konvergensi!$G$194;2);PANGKAT(Normalisasi!$P$21-Konvergensi!$H$194;2)))</f>
        <v/>
      </c>
      <c r="D225">
        <f>AKAR(JUMLAH(PANGKAT(Normalisasi!$J$21-Konvergensi!$B$195;2);PANGKAT(Normalisasi!$K$21-Konvergensi!$C$195;2);PANGKAT(Normalisasi!$L$21-Konvergensi!$D$195;2);PANGKAT(Normalisasi!$M$21-Konvergensi!$E$195;2);PANGKAT(Normalisasi!$N$21-Konvergensi!$F$195;2);PANGKAT(Normalisasi!$O$21-Konvergensi!$G$195;2);PANGKAT(Normalisasi!$P$21-Konvergensi!$H$195;2)))</f>
        <v/>
      </c>
      <c r="E225">
        <f>AKAR(JUMLAH(PANGKAT(Normalisasi!$J$21-Konvergensi!$B$196;2);PANGKAT(Normalisasi!$K$21-Konvergensi!$C$196;2);PANGKAT(Normalisasi!$L$21-Konvergensi!$D$196;2);PANGKAT(Normalisasi!$M$21-Konvergensi!$E$196;2);PANGKAT(Normalisasi!$N$21-Konvergensi!$F$196;2);PANGKAT(Normalisasi!$O$21-Konvergensi!$G$196;2);PANGKAT(Normalisasi!$P$21-Konvergensi!$H$196;2)))</f>
        <v/>
      </c>
      <c r="F225">
        <f>JIKA(C225&lt;=D225;=JIKA(C225&lt;=E225;0;2);=JIKA(D225&lt;=E225;1;2))</f>
        <v/>
      </c>
      <c r="G225">
        <f>JUMLAH(JIKA(F225=0;JUMLAH(PANGKAT(Normalisasi!$J$21-Konvergensi!$B$259;2);PANGKAT(Normalisasi!$K$21-Konvergensi!$C$259;2);PANGKAT(Normalisasi!$L$21-Konvergensi!$D$259;2);PANGKAT(Normalisasi!$M$21-Konvergensi!$E$259;2);PANGKAT(Normalisasi!$N$21-Konvergensi!$F$259;2);PANGKAT(Normalisasi!$O$21-Konvergensi!$G$259;2);PANGKAT(Normalisasi!$P$21-Konvergensi!$H$259;2));0);JIKA(F225=1;JUMLAH(PANGKAT(Normalisasi!$J$21-Konvergensi!$B$260;2);PANGKAT(Normalisasi!$K$21-Konvergensi!$C$260;2);PANGKAT(Normalisasi!$L$21-Konvergensi!$D$260;2);PANGKAT(Normalisasi!$M$21-Konvergensi!$E$260;2);PANGKAT(Normalisasi!$N$21-Konvergensi!$F$260;2);PANGKAT(Normalisasi!$O$21-Konvergensi!$G$260;2);PANGKAT(Normalisasi!$P$21-Konvergensi!$H$260;2));0);JIKA(F225=2;JUMLAH(PANGKAT(Normalisasi!$J$21-Konvergensi!$B$261;2);PANGKAT(Normalisasi!$K$21-Konvergensi!$C$261;2);PANGKAT(Normalisasi!$L$21-Konvergensi!$D$261;2);PANGKAT(Normalisasi!$M$21-Konvergensi!$E$261;2);PANGKAT(Normalisasi!$N$21-Konvergensi!$F$261;2);PANGKAT(Normalisasi!$O$21-Konvergensi!$G$261;2);PANGKAT(Normalisasi!$P$21-Konvergensi!$H$261;2));0))</f>
        <v/>
      </c>
      <c r="H225" t="n">
        <v>2</v>
      </c>
      <c r="I225" t="n">
        <v>4.664052825397641</v>
      </c>
    </row>
    <row r="226">
      <c r="A226">
        <f>Data_Awal!A22</f>
        <v/>
      </c>
      <c r="B226">
        <f>Data_Awal!B22</f>
        <v/>
      </c>
      <c r="C226">
        <f>AKAR(JUMLAH(PANGKAT(Normalisasi!$J$22-Konvergensi!$B$194;2);PANGKAT(Normalisasi!$K$22-Konvergensi!$C$194;2);PANGKAT(Normalisasi!$L$22-Konvergensi!$D$194;2);PANGKAT(Normalisasi!$M$22-Konvergensi!$E$194;2);PANGKAT(Normalisasi!$N$22-Konvergensi!$F$194;2);PANGKAT(Normalisasi!$O$22-Konvergensi!$G$194;2);PANGKAT(Normalisasi!$P$22-Konvergensi!$H$194;2)))</f>
        <v/>
      </c>
      <c r="D226">
        <f>AKAR(JUMLAH(PANGKAT(Normalisasi!$J$22-Konvergensi!$B$195;2);PANGKAT(Normalisasi!$K$22-Konvergensi!$C$195;2);PANGKAT(Normalisasi!$L$22-Konvergensi!$D$195;2);PANGKAT(Normalisasi!$M$22-Konvergensi!$E$195;2);PANGKAT(Normalisasi!$N$22-Konvergensi!$F$195;2);PANGKAT(Normalisasi!$O$22-Konvergensi!$G$195;2);PANGKAT(Normalisasi!$P$22-Konvergensi!$H$195;2)))</f>
        <v/>
      </c>
      <c r="E226">
        <f>AKAR(JUMLAH(PANGKAT(Normalisasi!$J$22-Konvergensi!$B$196;2);PANGKAT(Normalisasi!$K$22-Konvergensi!$C$196;2);PANGKAT(Normalisasi!$L$22-Konvergensi!$D$196;2);PANGKAT(Normalisasi!$M$22-Konvergensi!$E$196;2);PANGKAT(Normalisasi!$N$22-Konvergensi!$F$196;2);PANGKAT(Normalisasi!$O$22-Konvergensi!$G$196;2);PANGKAT(Normalisasi!$P$22-Konvergensi!$H$196;2)))</f>
        <v/>
      </c>
      <c r="F226">
        <f>JIKA(C226&lt;=D226;=JIKA(C226&lt;=E226;0;2);=JIKA(D226&lt;=E226;1;2))</f>
        <v/>
      </c>
      <c r="G226">
        <f>JUMLAH(JIKA(F226=0;JUMLAH(PANGKAT(Normalisasi!$J$22-Konvergensi!$B$259;2);PANGKAT(Normalisasi!$K$22-Konvergensi!$C$259;2);PANGKAT(Normalisasi!$L$22-Konvergensi!$D$259;2);PANGKAT(Normalisasi!$M$22-Konvergensi!$E$259;2);PANGKAT(Normalisasi!$N$22-Konvergensi!$F$259;2);PANGKAT(Normalisasi!$O$22-Konvergensi!$G$259;2);PANGKAT(Normalisasi!$P$22-Konvergensi!$H$259;2));0);JIKA(F226=1;JUMLAH(PANGKAT(Normalisasi!$J$22-Konvergensi!$B$260;2);PANGKAT(Normalisasi!$K$22-Konvergensi!$C$260;2);PANGKAT(Normalisasi!$L$22-Konvergensi!$D$260;2);PANGKAT(Normalisasi!$M$22-Konvergensi!$E$260;2);PANGKAT(Normalisasi!$N$22-Konvergensi!$F$260;2);PANGKAT(Normalisasi!$O$22-Konvergensi!$G$260;2);PANGKAT(Normalisasi!$P$22-Konvergensi!$H$260;2));0);JIKA(F226=2;JUMLAH(PANGKAT(Normalisasi!$J$22-Konvergensi!$B$261;2);PANGKAT(Normalisasi!$K$22-Konvergensi!$C$261;2);PANGKAT(Normalisasi!$L$22-Konvergensi!$D$261;2);PANGKAT(Normalisasi!$M$22-Konvergensi!$E$261;2);PANGKAT(Normalisasi!$N$22-Konvergensi!$F$261;2);PANGKAT(Normalisasi!$O$22-Konvergensi!$G$261;2);PANGKAT(Normalisasi!$P$22-Konvergensi!$H$261;2));0))</f>
        <v/>
      </c>
      <c r="H226" t="n">
        <v>0</v>
      </c>
      <c r="I226" t="n">
        <v>7.444460965937477</v>
      </c>
    </row>
    <row r="227">
      <c r="A227">
        <f>Data_Awal!A23</f>
        <v/>
      </c>
      <c r="B227">
        <f>Data_Awal!B23</f>
        <v/>
      </c>
      <c r="C227">
        <f>AKAR(JUMLAH(PANGKAT(Normalisasi!$J$23-Konvergensi!$B$194;2);PANGKAT(Normalisasi!$K$23-Konvergensi!$C$194;2);PANGKAT(Normalisasi!$L$23-Konvergensi!$D$194;2);PANGKAT(Normalisasi!$M$23-Konvergensi!$E$194;2);PANGKAT(Normalisasi!$N$23-Konvergensi!$F$194;2);PANGKAT(Normalisasi!$O$23-Konvergensi!$G$194;2);PANGKAT(Normalisasi!$P$23-Konvergensi!$H$194;2)))</f>
        <v/>
      </c>
      <c r="D227">
        <f>AKAR(JUMLAH(PANGKAT(Normalisasi!$J$23-Konvergensi!$B$195;2);PANGKAT(Normalisasi!$K$23-Konvergensi!$C$195;2);PANGKAT(Normalisasi!$L$23-Konvergensi!$D$195;2);PANGKAT(Normalisasi!$M$23-Konvergensi!$E$195;2);PANGKAT(Normalisasi!$N$23-Konvergensi!$F$195;2);PANGKAT(Normalisasi!$O$23-Konvergensi!$G$195;2);PANGKAT(Normalisasi!$P$23-Konvergensi!$H$195;2)))</f>
        <v/>
      </c>
      <c r="E227">
        <f>AKAR(JUMLAH(PANGKAT(Normalisasi!$J$23-Konvergensi!$B$196;2);PANGKAT(Normalisasi!$K$23-Konvergensi!$C$196;2);PANGKAT(Normalisasi!$L$23-Konvergensi!$D$196;2);PANGKAT(Normalisasi!$M$23-Konvergensi!$E$196;2);PANGKAT(Normalisasi!$N$23-Konvergensi!$F$196;2);PANGKAT(Normalisasi!$O$23-Konvergensi!$G$196;2);PANGKAT(Normalisasi!$P$23-Konvergensi!$H$196;2)))</f>
        <v/>
      </c>
      <c r="F227">
        <f>JIKA(C227&lt;=D227;=JIKA(C227&lt;=E227;0;2);=JIKA(D227&lt;=E227;1;2))</f>
        <v/>
      </c>
      <c r="G227">
        <f>JUMLAH(JIKA(F227=0;JUMLAH(PANGKAT(Normalisasi!$J$23-Konvergensi!$B$259;2);PANGKAT(Normalisasi!$K$23-Konvergensi!$C$259;2);PANGKAT(Normalisasi!$L$23-Konvergensi!$D$259;2);PANGKAT(Normalisasi!$M$23-Konvergensi!$E$259;2);PANGKAT(Normalisasi!$N$23-Konvergensi!$F$259;2);PANGKAT(Normalisasi!$O$23-Konvergensi!$G$259;2);PANGKAT(Normalisasi!$P$23-Konvergensi!$H$259;2));0);JIKA(F227=1;JUMLAH(PANGKAT(Normalisasi!$J$23-Konvergensi!$B$260;2);PANGKAT(Normalisasi!$K$23-Konvergensi!$C$260;2);PANGKAT(Normalisasi!$L$23-Konvergensi!$D$260;2);PANGKAT(Normalisasi!$M$23-Konvergensi!$E$260;2);PANGKAT(Normalisasi!$N$23-Konvergensi!$F$260;2);PANGKAT(Normalisasi!$O$23-Konvergensi!$G$260;2);PANGKAT(Normalisasi!$P$23-Konvergensi!$H$260;2));0);JIKA(F227=2;JUMLAH(PANGKAT(Normalisasi!$J$23-Konvergensi!$B$261;2);PANGKAT(Normalisasi!$K$23-Konvergensi!$C$261;2);PANGKAT(Normalisasi!$L$23-Konvergensi!$D$261;2);PANGKAT(Normalisasi!$M$23-Konvergensi!$E$261;2);PANGKAT(Normalisasi!$N$23-Konvergensi!$F$261;2);PANGKAT(Normalisasi!$O$23-Konvergensi!$G$261;2);PANGKAT(Normalisasi!$P$23-Konvergensi!$H$261;2));0))</f>
        <v/>
      </c>
      <c r="H227" t="n">
        <v>1</v>
      </c>
      <c r="I227" t="n">
        <v>6.268119608809372</v>
      </c>
    </row>
    <row r="228">
      <c r="A228">
        <f>Data_Awal!A24</f>
        <v/>
      </c>
      <c r="B228">
        <f>Data_Awal!B24</f>
        <v/>
      </c>
      <c r="C228">
        <f>AKAR(JUMLAH(PANGKAT(Normalisasi!$J$24-Konvergensi!$B$194;2);PANGKAT(Normalisasi!$K$24-Konvergensi!$C$194;2);PANGKAT(Normalisasi!$L$24-Konvergensi!$D$194;2);PANGKAT(Normalisasi!$M$24-Konvergensi!$E$194;2);PANGKAT(Normalisasi!$N$24-Konvergensi!$F$194;2);PANGKAT(Normalisasi!$O$24-Konvergensi!$G$194;2);PANGKAT(Normalisasi!$P$24-Konvergensi!$H$194;2)))</f>
        <v/>
      </c>
      <c r="D228">
        <f>AKAR(JUMLAH(PANGKAT(Normalisasi!$J$24-Konvergensi!$B$195;2);PANGKAT(Normalisasi!$K$24-Konvergensi!$C$195;2);PANGKAT(Normalisasi!$L$24-Konvergensi!$D$195;2);PANGKAT(Normalisasi!$M$24-Konvergensi!$E$195;2);PANGKAT(Normalisasi!$N$24-Konvergensi!$F$195;2);PANGKAT(Normalisasi!$O$24-Konvergensi!$G$195;2);PANGKAT(Normalisasi!$P$24-Konvergensi!$H$195;2)))</f>
        <v/>
      </c>
      <c r="E228">
        <f>AKAR(JUMLAH(PANGKAT(Normalisasi!$J$24-Konvergensi!$B$196;2);PANGKAT(Normalisasi!$K$24-Konvergensi!$C$196;2);PANGKAT(Normalisasi!$L$24-Konvergensi!$D$196;2);PANGKAT(Normalisasi!$M$24-Konvergensi!$E$196;2);PANGKAT(Normalisasi!$N$24-Konvergensi!$F$196;2);PANGKAT(Normalisasi!$O$24-Konvergensi!$G$196;2);PANGKAT(Normalisasi!$P$24-Konvergensi!$H$196;2)))</f>
        <v/>
      </c>
      <c r="F228">
        <f>JIKA(C228&lt;=D228;=JIKA(C228&lt;=E228;0;2);=JIKA(D228&lt;=E228;1;2))</f>
        <v/>
      </c>
      <c r="G228">
        <f>JUMLAH(JIKA(F228=0;JUMLAH(PANGKAT(Normalisasi!$J$24-Konvergensi!$B$259;2);PANGKAT(Normalisasi!$K$24-Konvergensi!$C$259;2);PANGKAT(Normalisasi!$L$24-Konvergensi!$D$259;2);PANGKAT(Normalisasi!$M$24-Konvergensi!$E$259;2);PANGKAT(Normalisasi!$N$24-Konvergensi!$F$259;2);PANGKAT(Normalisasi!$O$24-Konvergensi!$G$259;2);PANGKAT(Normalisasi!$P$24-Konvergensi!$H$259;2));0);JIKA(F228=1;JUMLAH(PANGKAT(Normalisasi!$J$24-Konvergensi!$B$260;2);PANGKAT(Normalisasi!$K$24-Konvergensi!$C$260;2);PANGKAT(Normalisasi!$L$24-Konvergensi!$D$260;2);PANGKAT(Normalisasi!$M$24-Konvergensi!$E$260;2);PANGKAT(Normalisasi!$N$24-Konvergensi!$F$260;2);PANGKAT(Normalisasi!$O$24-Konvergensi!$G$260;2);PANGKAT(Normalisasi!$P$24-Konvergensi!$H$260;2));0);JIKA(F228=2;JUMLAH(PANGKAT(Normalisasi!$J$24-Konvergensi!$B$261;2);PANGKAT(Normalisasi!$K$24-Konvergensi!$C$261;2);PANGKAT(Normalisasi!$L$24-Konvergensi!$D$261;2);PANGKAT(Normalisasi!$M$24-Konvergensi!$E$261;2);PANGKAT(Normalisasi!$N$24-Konvergensi!$F$261;2);PANGKAT(Normalisasi!$O$24-Konvergensi!$G$261;2);PANGKAT(Normalisasi!$P$24-Konvergensi!$H$261;2));0))</f>
        <v/>
      </c>
      <c r="H228" t="n">
        <v>2</v>
      </c>
      <c r="I228" t="n">
        <v>3.225862591174284</v>
      </c>
    </row>
    <row r="229">
      <c r="A229">
        <f>Data_Awal!A25</f>
        <v/>
      </c>
      <c r="B229">
        <f>Data_Awal!B25</f>
        <v/>
      </c>
      <c r="C229">
        <f>AKAR(JUMLAH(PANGKAT(Normalisasi!$J$25-Konvergensi!$B$194;2);PANGKAT(Normalisasi!$K$25-Konvergensi!$C$194;2);PANGKAT(Normalisasi!$L$25-Konvergensi!$D$194;2);PANGKAT(Normalisasi!$M$25-Konvergensi!$E$194;2);PANGKAT(Normalisasi!$N$25-Konvergensi!$F$194;2);PANGKAT(Normalisasi!$O$25-Konvergensi!$G$194;2);PANGKAT(Normalisasi!$P$25-Konvergensi!$H$194;2)))</f>
        <v/>
      </c>
      <c r="D229">
        <f>AKAR(JUMLAH(PANGKAT(Normalisasi!$J$25-Konvergensi!$B$195;2);PANGKAT(Normalisasi!$K$25-Konvergensi!$C$195;2);PANGKAT(Normalisasi!$L$25-Konvergensi!$D$195;2);PANGKAT(Normalisasi!$M$25-Konvergensi!$E$195;2);PANGKAT(Normalisasi!$N$25-Konvergensi!$F$195;2);PANGKAT(Normalisasi!$O$25-Konvergensi!$G$195;2);PANGKAT(Normalisasi!$P$25-Konvergensi!$H$195;2)))</f>
        <v/>
      </c>
      <c r="E229">
        <f>AKAR(JUMLAH(PANGKAT(Normalisasi!$J$25-Konvergensi!$B$196;2);PANGKAT(Normalisasi!$K$25-Konvergensi!$C$196;2);PANGKAT(Normalisasi!$L$25-Konvergensi!$D$196;2);PANGKAT(Normalisasi!$M$25-Konvergensi!$E$196;2);PANGKAT(Normalisasi!$N$25-Konvergensi!$F$196;2);PANGKAT(Normalisasi!$O$25-Konvergensi!$G$196;2);PANGKAT(Normalisasi!$P$25-Konvergensi!$H$196;2)))</f>
        <v/>
      </c>
      <c r="F229">
        <f>JIKA(C229&lt;=D229;=JIKA(C229&lt;=E229;0;2);=JIKA(D229&lt;=E229;1;2))</f>
        <v/>
      </c>
      <c r="G229">
        <f>JUMLAH(JIKA(F229=0;JUMLAH(PANGKAT(Normalisasi!$J$25-Konvergensi!$B$259;2);PANGKAT(Normalisasi!$K$25-Konvergensi!$C$259;2);PANGKAT(Normalisasi!$L$25-Konvergensi!$D$259;2);PANGKAT(Normalisasi!$M$25-Konvergensi!$E$259;2);PANGKAT(Normalisasi!$N$25-Konvergensi!$F$259;2);PANGKAT(Normalisasi!$O$25-Konvergensi!$G$259;2);PANGKAT(Normalisasi!$P$25-Konvergensi!$H$259;2));0);JIKA(F229=1;JUMLAH(PANGKAT(Normalisasi!$J$25-Konvergensi!$B$260;2);PANGKAT(Normalisasi!$K$25-Konvergensi!$C$260;2);PANGKAT(Normalisasi!$L$25-Konvergensi!$D$260;2);PANGKAT(Normalisasi!$M$25-Konvergensi!$E$260;2);PANGKAT(Normalisasi!$N$25-Konvergensi!$F$260;2);PANGKAT(Normalisasi!$O$25-Konvergensi!$G$260;2);PANGKAT(Normalisasi!$P$25-Konvergensi!$H$260;2));0);JIKA(F229=2;JUMLAH(PANGKAT(Normalisasi!$J$25-Konvergensi!$B$261;2);PANGKAT(Normalisasi!$K$25-Konvergensi!$C$261;2);PANGKAT(Normalisasi!$L$25-Konvergensi!$D$261;2);PANGKAT(Normalisasi!$M$25-Konvergensi!$E$261;2);PANGKAT(Normalisasi!$N$25-Konvergensi!$F$261;2);PANGKAT(Normalisasi!$O$25-Konvergensi!$G$261;2);PANGKAT(Normalisasi!$P$25-Konvergensi!$H$261;2));0))</f>
        <v/>
      </c>
      <c r="H229" t="n">
        <v>1</v>
      </c>
      <c r="I229" t="n">
        <v>3.927508727928172</v>
      </c>
    </row>
    <row r="230">
      <c r="A230">
        <f>Data_Awal!A26</f>
        <v/>
      </c>
      <c r="B230">
        <f>Data_Awal!B26</f>
        <v/>
      </c>
      <c r="C230">
        <f>AKAR(JUMLAH(PANGKAT(Normalisasi!$J$26-Konvergensi!$B$194;2);PANGKAT(Normalisasi!$K$26-Konvergensi!$C$194;2);PANGKAT(Normalisasi!$L$26-Konvergensi!$D$194;2);PANGKAT(Normalisasi!$M$26-Konvergensi!$E$194;2);PANGKAT(Normalisasi!$N$26-Konvergensi!$F$194;2);PANGKAT(Normalisasi!$O$26-Konvergensi!$G$194;2);PANGKAT(Normalisasi!$P$26-Konvergensi!$H$194;2)))</f>
        <v/>
      </c>
      <c r="D230">
        <f>AKAR(JUMLAH(PANGKAT(Normalisasi!$J$26-Konvergensi!$B$195;2);PANGKAT(Normalisasi!$K$26-Konvergensi!$C$195;2);PANGKAT(Normalisasi!$L$26-Konvergensi!$D$195;2);PANGKAT(Normalisasi!$M$26-Konvergensi!$E$195;2);PANGKAT(Normalisasi!$N$26-Konvergensi!$F$195;2);PANGKAT(Normalisasi!$O$26-Konvergensi!$G$195;2);PANGKAT(Normalisasi!$P$26-Konvergensi!$H$195;2)))</f>
        <v/>
      </c>
      <c r="E230">
        <f>AKAR(JUMLAH(PANGKAT(Normalisasi!$J$26-Konvergensi!$B$196;2);PANGKAT(Normalisasi!$K$26-Konvergensi!$C$196;2);PANGKAT(Normalisasi!$L$26-Konvergensi!$D$196;2);PANGKAT(Normalisasi!$M$26-Konvergensi!$E$196;2);PANGKAT(Normalisasi!$N$26-Konvergensi!$F$196;2);PANGKAT(Normalisasi!$O$26-Konvergensi!$G$196;2);PANGKAT(Normalisasi!$P$26-Konvergensi!$H$196;2)))</f>
        <v/>
      </c>
      <c r="F230">
        <f>JIKA(C230&lt;=D230;=JIKA(C230&lt;=E230;0;2);=JIKA(D230&lt;=E230;1;2))</f>
        <v/>
      </c>
      <c r="G230">
        <f>JUMLAH(JIKA(F230=0;JUMLAH(PANGKAT(Normalisasi!$J$26-Konvergensi!$B$259;2);PANGKAT(Normalisasi!$K$26-Konvergensi!$C$259;2);PANGKAT(Normalisasi!$L$26-Konvergensi!$D$259;2);PANGKAT(Normalisasi!$M$26-Konvergensi!$E$259;2);PANGKAT(Normalisasi!$N$26-Konvergensi!$F$259;2);PANGKAT(Normalisasi!$O$26-Konvergensi!$G$259;2);PANGKAT(Normalisasi!$P$26-Konvergensi!$H$259;2));0);JIKA(F230=1;JUMLAH(PANGKAT(Normalisasi!$J$26-Konvergensi!$B$260;2);PANGKAT(Normalisasi!$K$26-Konvergensi!$C$260;2);PANGKAT(Normalisasi!$L$26-Konvergensi!$D$260;2);PANGKAT(Normalisasi!$M$26-Konvergensi!$E$260;2);PANGKAT(Normalisasi!$N$26-Konvergensi!$F$260;2);PANGKAT(Normalisasi!$O$26-Konvergensi!$G$260;2);PANGKAT(Normalisasi!$P$26-Konvergensi!$H$260;2));0);JIKA(F230=2;JUMLAH(PANGKAT(Normalisasi!$J$26-Konvergensi!$B$261;2);PANGKAT(Normalisasi!$K$26-Konvergensi!$C$261;2);PANGKAT(Normalisasi!$L$26-Konvergensi!$D$261;2);PANGKAT(Normalisasi!$M$26-Konvergensi!$E$261;2);PANGKAT(Normalisasi!$N$26-Konvergensi!$F$261;2);PANGKAT(Normalisasi!$O$26-Konvergensi!$G$261;2);PANGKAT(Normalisasi!$P$26-Konvergensi!$H$261;2));0))</f>
        <v/>
      </c>
      <c r="H230" t="n">
        <v>2</v>
      </c>
      <c r="I230" t="n">
        <v>5.105028069065453</v>
      </c>
    </row>
    <row r="231">
      <c r="A231">
        <f>Data_Awal!A27</f>
        <v/>
      </c>
      <c r="B231">
        <f>Data_Awal!B27</f>
        <v/>
      </c>
      <c r="C231">
        <f>AKAR(JUMLAH(PANGKAT(Normalisasi!$J$27-Konvergensi!$B$194;2);PANGKAT(Normalisasi!$K$27-Konvergensi!$C$194;2);PANGKAT(Normalisasi!$L$27-Konvergensi!$D$194;2);PANGKAT(Normalisasi!$M$27-Konvergensi!$E$194;2);PANGKAT(Normalisasi!$N$27-Konvergensi!$F$194;2);PANGKAT(Normalisasi!$O$27-Konvergensi!$G$194;2);PANGKAT(Normalisasi!$P$27-Konvergensi!$H$194;2)))</f>
        <v/>
      </c>
      <c r="D231">
        <f>AKAR(JUMLAH(PANGKAT(Normalisasi!$J$27-Konvergensi!$B$195;2);PANGKAT(Normalisasi!$K$27-Konvergensi!$C$195;2);PANGKAT(Normalisasi!$L$27-Konvergensi!$D$195;2);PANGKAT(Normalisasi!$M$27-Konvergensi!$E$195;2);PANGKAT(Normalisasi!$N$27-Konvergensi!$F$195;2);PANGKAT(Normalisasi!$O$27-Konvergensi!$G$195;2);PANGKAT(Normalisasi!$P$27-Konvergensi!$H$195;2)))</f>
        <v/>
      </c>
      <c r="E231">
        <f>AKAR(JUMLAH(PANGKAT(Normalisasi!$J$27-Konvergensi!$B$196;2);PANGKAT(Normalisasi!$K$27-Konvergensi!$C$196;2);PANGKAT(Normalisasi!$L$27-Konvergensi!$D$196;2);PANGKAT(Normalisasi!$M$27-Konvergensi!$E$196;2);PANGKAT(Normalisasi!$N$27-Konvergensi!$F$196;2);PANGKAT(Normalisasi!$O$27-Konvergensi!$G$196;2);PANGKAT(Normalisasi!$P$27-Konvergensi!$H$196;2)))</f>
        <v/>
      </c>
      <c r="F231">
        <f>JIKA(C231&lt;=D231;=JIKA(C231&lt;=E231;0;2);=JIKA(D231&lt;=E231;1;2))</f>
        <v/>
      </c>
      <c r="G231">
        <f>JUMLAH(JIKA(F231=0;JUMLAH(PANGKAT(Normalisasi!$J$27-Konvergensi!$B$259;2);PANGKAT(Normalisasi!$K$27-Konvergensi!$C$259;2);PANGKAT(Normalisasi!$L$27-Konvergensi!$D$259;2);PANGKAT(Normalisasi!$M$27-Konvergensi!$E$259;2);PANGKAT(Normalisasi!$N$27-Konvergensi!$F$259;2);PANGKAT(Normalisasi!$O$27-Konvergensi!$G$259;2);PANGKAT(Normalisasi!$P$27-Konvergensi!$H$259;2));0);JIKA(F231=1;JUMLAH(PANGKAT(Normalisasi!$J$27-Konvergensi!$B$260;2);PANGKAT(Normalisasi!$K$27-Konvergensi!$C$260;2);PANGKAT(Normalisasi!$L$27-Konvergensi!$D$260;2);PANGKAT(Normalisasi!$M$27-Konvergensi!$E$260;2);PANGKAT(Normalisasi!$N$27-Konvergensi!$F$260;2);PANGKAT(Normalisasi!$O$27-Konvergensi!$G$260;2);PANGKAT(Normalisasi!$P$27-Konvergensi!$H$260;2));0);JIKA(F231=2;JUMLAH(PANGKAT(Normalisasi!$J$27-Konvergensi!$B$261;2);PANGKAT(Normalisasi!$K$27-Konvergensi!$C$261;2);PANGKAT(Normalisasi!$L$27-Konvergensi!$D$261;2);PANGKAT(Normalisasi!$M$27-Konvergensi!$E$261;2);PANGKAT(Normalisasi!$N$27-Konvergensi!$F$261;2);PANGKAT(Normalisasi!$O$27-Konvergensi!$G$261;2);PANGKAT(Normalisasi!$P$27-Konvergensi!$H$261;2));0))</f>
        <v/>
      </c>
      <c r="H231" t="n">
        <v>0</v>
      </c>
      <c r="I231" t="n">
        <v>1.750748768735407</v>
      </c>
    </row>
    <row r="232">
      <c r="A232">
        <f>Data_Awal!A28</f>
        <v/>
      </c>
      <c r="B232">
        <f>Data_Awal!B28</f>
        <v/>
      </c>
      <c r="C232">
        <f>AKAR(JUMLAH(PANGKAT(Normalisasi!$J$28-Konvergensi!$B$194;2);PANGKAT(Normalisasi!$K$28-Konvergensi!$C$194;2);PANGKAT(Normalisasi!$L$28-Konvergensi!$D$194;2);PANGKAT(Normalisasi!$M$28-Konvergensi!$E$194;2);PANGKAT(Normalisasi!$N$28-Konvergensi!$F$194;2);PANGKAT(Normalisasi!$O$28-Konvergensi!$G$194;2);PANGKAT(Normalisasi!$P$28-Konvergensi!$H$194;2)))</f>
        <v/>
      </c>
      <c r="D232">
        <f>AKAR(JUMLAH(PANGKAT(Normalisasi!$J$28-Konvergensi!$B$195;2);PANGKAT(Normalisasi!$K$28-Konvergensi!$C$195;2);PANGKAT(Normalisasi!$L$28-Konvergensi!$D$195;2);PANGKAT(Normalisasi!$M$28-Konvergensi!$E$195;2);PANGKAT(Normalisasi!$N$28-Konvergensi!$F$195;2);PANGKAT(Normalisasi!$O$28-Konvergensi!$G$195;2);PANGKAT(Normalisasi!$P$28-Konvergensi!$H$195;2)))</f>
        <v/>
      </c>
      <c r="E232">
        <f>AKAR(JUMLAH(PANGKAT(Normalisasi!$J$28-Konvergensi!$B$196;2);PANGKAT(Normalisasi!$K$28-Konvergensi!$C$196;2);PANGKAT(Normalisasi!$L$28-Konvergensi!$D$196;2);PANGKAT(Normalisasi!$M$28-Konvergensi!$E$196;2);PANGKAT(Normalisasi!$N$28-Konvergensi!$F$196;2);PANGKAT(Normalisasi!$O$28-Konvergensi!$G$196;2);PANGKAT(Normalisasi!$P$28-Konvergensi!$H$196;2)))</f>
        <v/>
      </c>
      <c r="F232">
        <f>JIKA(C232&lt;=D232;=JIKA(C232&lt;=E232;0;2);=JIKA(D232&lt;=E232;1;2))</f>
        <v/>
      </c>
      <c r="G232">
        <f>JUMLAH(JIKA(F232=0;JUMLAH(PANGKAT(Normalisasi!$J$28-Konvergensi!$B$259;2);PANGKAT(Normalisasi!$K$28-Konvergensi!$C$259;2);PANGKAT(Normalisasi!$L$28-Konvergensi!$D$259;2);PANGKAT(Normalisasi!$M$28-Konvergensi!$E$259;2);PANGKAT(Normalisasi!$N$28-Konvergensi!$F$259;2);PANGKAT(Normalisasi!$O$28-Konvergensi!$G$259;2);PANGKAT(Normalisasi!$P$28-Konvergensi!$H$259;2));0);JIKA(F232=1;JUMLAH(PANGKAT(Normalisasi!$J$28-Konvergensi!$B$260;2);PANGKAT(Normalisasi!$K$28-Konvergensi!$C$260;2);PANGKAT(Normalisasi!$L$28-Konvergensi!$D$260;2);PANGKAT(Normalisasi!$M$28-Konvergensi!$E$260;2);PANGKAT(Normalisasi!$N$28-Konvergensi!$F$260;2);PANGKAT(Normalisasi!$O$28-Konvergensi!$G$260;2);PANGKAT(Normalisasi!$P$28-Konvergensi!$H$260;2));0);JIKA(F232=2;JUMLAH(PANGKAT(Normalisasi!$J$28-Konvergensi!$B$261;2);PANGKAT(Normalisasi!$K$28-Konvergensi!$C$261;2);PANGKAT(Normalisasi!$L$28-Konvergensi!$D$261;2);PANGKAT(Normalisasi!$M$28-Konvergensi!$E$261;2);PANGKAT(Normalisasi!$N$28-Konvergensi!$F$261;2);PANGKAT(Normalisasi!$O$28-Konvergensi!$G$261;2);PANGKAT(Normalisasi!$P$28-Konvergensi!$H$261;2));0))</f>
        <v/>
      </c>
      <c r="H232" t="n">
        <v>0</v>
      </c>
      <c r="I232" t="n">
        <v>11.88460645839379</v>
      </c>
    </row>
    <row r="233">
      <c r="A233">
        <f>Data_Awal!A29</f>
        <v/>
      </c>
      <c r="B233">
        <f>Data_Awal!B29</f>
        <v/>
      </c>
      <c r="C233">
        <f>AKAR(JUMLAH(PANGKAT(Normalisasi!$J$29-Konvergensi!$B$194;2);PANGKAT(Normalisasi!$K$29-Konvergensi!$C$194;2);PANGKAT(Normalisasi!$L$29-Konvergensi!$D$194;2);PANGKAT(Normalisasi!$M$29-Konvergensi!$E$194;2);PANGKAT(Normalisasi!$N$29-Konvergensi!$F$194;2);PANGKAT(Normalisasi!$O$29-Konvergensi!$G$194;2);PANGKAT(Normalisasi!$P$29-Konvergensi!$H$194;2)))</f>
        <v/>
      </c>
      <c r="D233">
        <f>AKAR(JUMLAH(PANGKAT(Normalisasi!$J$29-Konvergensi!$B$195;2);PANGKAT(Normalisasi!$K$29-Konvergensi!$C$195;2);PANGKAT(Normalisasi!$L$29-Konvergensi!$D$195;2);PANGKAT(Normalisasi!$M$29-Konvergensi!$E$195;2);PANGKAT(Normalisasi!$N$29-Konvergensi!$F$195;2);PANGKAT(Normalisasi!$O$29-Konvergensi!$G$195;2);PANGKAT(Normalisasi!$P$29-Konvergensi!$H$195;2)))</f>
        <v/>
      </c>
      <c r="E233">
        <f>AKAR(JUMLAH(PANGKAT(Normalisasi!$J$29-Konvergensi!$B$196;2);PANGKAT(Normalisasi!$K$29-Konvergensi!$C$196;2);PANGKAT(Normalisasi!$L$29-Konvergensi!$D$196;2);PANGKAT(Normalisasi!$M$29-Konvergensi!$E$196;2);PANGKAT(Normalisasi!$N$29-Konvergensi!$F$196;2);PANGKAT(Normalisasi!$O$29-Konvergensi!$G$196;2);PANGKAT(Normalisasi!$P$29-Konvergensi!$H$196;2)))</f>
        <v/>
      </c>
      <c r="F233">
        <f>JIKA(C233&lt;=D233;=JIKA(C233&lt;=E233;0;2);=JIKA(D233&lt;=E233;1;2))</f>
        <v/>
      </c>
      <c r="G233">
        <f>JUMLAH(JIKA(F233=0;JUMLAH(PANGKAT(Normalisasi!$J$29-Konvergensi!$B$259;2);PANGKAT(Normalisasi!$K$29-Konvergensi!$C$259;2);PANGKAT(Normalisasi!$L$29-Konvergensi!$D$259;2);PANGKAT(Normalisasi!$M$29-Konvergensi!$E$259;2);PANGKAT(Normalisasi!$N$29-Konvergensi!$F$259;2);PANGKAT(Normalisasi!$O$29-Konvergensi!$G$259;2);PANGKAT(Normalisasi!$P$29-Konvergensi!$H$259;2));0);JIKA(F233=1;JUMLAH(PANGKAT(Normalisasi!$J$29-Konvergensi!$B$260;2);PANGKAT(Normalisasi!$K$29-Konvergensi!$C$260;2);PANGKAT(Normalisasi!$L$29-Konvergensi!$D$260;2);PANGKAT(Normalisasi!$M$29-Konvergensi!$E$260;2);PANGKAT(Normalisasi!$N$29-Konvergensi!$F$260;2);PANGKAT(Normalisasi!$O$29-Konvergensi!$G$260;2);PANGKAT(Normalisasi!$P$29-Konvergensi!$H$260;2));0);JIKA(F233=2;JUMLAH(PANGKAT(Normalisasi!$J$29-Konvergensi!$B$261;2);PANGKAT(Normalisasi!$K$29-Konvergensi!$C$261;2);PANGKAT(Normalisasi!$L$29-Konvergensi!$D$261;2);PANGKAT(Normalisasi!$M$29-Konvergensi!$E$261;2);PANGKAT(Normalisasi!$N$29-Konvergensi!$F$261;2);PANGKAT(Normalisasi!$O$29-Konvergensi!$G$261;2);PANGKAT(Normalisasi!$P$29-Konvergensi!$H$261;2));0))</f>
        <v/>
      </c>
      <c r="H233" t="n">
        <v>0</v>
      </c>
      <c r="I233" t="n">
        <v>5.586955953821664</v>
      </c>
    </row>
    <row r="234">
      <c r="A234">
        <f>Data_Awal!A30</f>
        <v/>
      </c>
      <c r="B234">
        <f>Data_Awal!B30</f>
        <v/>
      </c>
      <c r="C234">
        <f>AKAR(JUMLAH(PANGKAT(Normalisasi!$J$30-Konvergensi!$B$194;2);PANGKAT(Normalisasi!$K$30-Konvergensi!$C$194;2);PANGKAT(Normalisasi!$L$30-Konvergensi!$D$194;2);PANGKAT(Normalisasi!$M$30-Konvergensi!$E$194;2);PANGKAT(Normalisasi!$N$30-Konvergensi!$F$194;2);PANGKAT(Normalisasi!$O$30-Konvergensi!$G$194;2);PANGKAT(Normalisasi!$P$30-Konvergensi!$H$194;2)))</f>
        <v/>
      </c>
      <c r="D234">
        <f>AKAR(JUMLAH(PANGKAT(Normalisasi!$J$30-Konvergensi!$B$195;2);PANGKAT(Normalisasi!$K$30-Konvergensi!$C$195;2);PANGKAT(Normalisasi!$L$30-Konvergensi!$D$195;2);PANGKAT(Normalisasi!$M$30-Konvergensi!$E$195;2);PANGKAT(Normalisasi!$N$30-Konvergensi!$F$195;2);PANGKAT(Normalisasi!$O$30-Konvergensi!$G$195;2);PANGKAT(Normalisasi!$P$30-Konvergensi!$H$195;2)))</f>
        <v/>
      </c>
      <c r="E234">
        <f>AKAR(JUMLAH(PANGKAT(Normalisasi!$J$30-Konvergensi!$B$196;2);PANGKAT(Normalisasi!$K$30-Konvergensi!$C$196;2);PANGKAT(Normalisasi!$L$30-Konvergensi!$D$196;2);PANGKAT(Normalisasi!$M$30-Konvergensi!$E$196;2);PANGKAT(Normalisasi!$N$30-Konvergensi!$F$196;2);PANGKAT(Normalisasi!$O$30-Konvergensi!$G$196;2);PANGKAT(Normalisasi!$P$30-Konvergensi!$H$196;2)))</f>
        <v/>
      </c>
      <c r="F234">
        <f>JIKA(C234&lt;=D234;=JIKA(C234&lt;=E234;0;2);=JIKA(D234&lt;=E234;1;2))</f>
        <v/>
      </c>
      <c r="G234">
        <f>JUMLAH(JIKA(F234=0;JUMLAH(PANGKAT(Normalisasi!$J$30-Konvergensi!$B$259;2);PANGKAT(Normalisasi!$K$30-Konvergensi!$C$259;2);PANGKAT(Normalisasi!$L$30-Konvergensi!$D$259;2);PANGKAT(Normalisasi!$M$30-Konvergensi!$E$259;2);PANGKAT(Normalisasi!$N$30-Konvergensi!$F$259;2);PANGKAT(Normalisasi!$O$30-Konvergensi!$G$259;2);PANGKAT(Normalisasi!$P$30-Konvergensi!$H$259;2));0);JIKA(F234=1;JUMLAH(PANGKAT(Normalisasi!$J$30-Konvergensi!$B$260;2);PANGKAT(Normalisasi!$K$30-Konvergensi!$C$260;2);PANGKAT(Normalisasi!$L$30-Konvergensi!$D$260;2);PANGKAT(Normalisasi!$M$30-Konvergensi!$E$260;2);PANGKAT(Normalisasi!$N$30-Konvergensi!$F$260;2);PANGKAT(Normalisasi!$O$30-Konvergensi!$G$260;2);PANGKAT(Normalisasi!$P$30-Konvergensi!$H$260;2));0);JIKA(F234=2;JUMLAH(PANGKAT(Normalisasi!$J$30-Konvergensi!$B$261;2);PANGKAT(Normalisasi!$K$30-Konvergensi!$C$261;2);PANGKAT(Normalisasi!$L$30-Konvergensi!$D$261;2);PANGKAT(Normalisasi!$M$30-Konvergensi!$E$261;2);PANGKAT(Normalisasi!$N$30-Konvergensi!$F$261;2);PANGKAT(Normalisasi!$O$30-Konvergensi!$G$261;2);PANGKAT(Normalisasi!$P$30-Konvergensi!$H$261;2));0))</f>
        <v/>
      </c>
      <c r="H234" t="n">
        <v>0</v>
      </c>
      <c r="I234" t="n">
        <v>6.971134609607301</v>
      </c>
    </row>
    <row r="235">
      <c r="A235">
        <f>Data_Awal!A31</f>
        <v/>
      </c>
      <c r="B235">
        <f>Data_Awal!B31</f>
        <v/>
      </c>
      <c r="C235">
        <f>AKAR(JUMLAH(PANGKAT(Normalisasi!$J$31-Konvergensi!$B$194;2);PANGKAT(Normalisasi!$K$31-Konvergensi!$C$194;2);PANGKAT(Normalisasi!$L$31-Konvergensi!$D$194;2);PANGKAT(Normalisasi!$M$31-Konvergensi!$E$194;2);PANGKAT(Normalisasi!$N$31-Konvergensi!$F$194;2);PANGKAT(Normalisasi!$O$31-Konvergensi!$G$194;2);PANGKAT(Normalisasi!$P$31-Konvergensi!$H$194;2)))</f>
        <v/>
      </c>
      <c r="D235">
        <f>AKAR(JUMLAH(PANGKAT(Normalisasi!$J$31-Konvergensi!$B$195;2);PANGKAT(Normalisasi!$K$31-Konvergensi!$C$195;2);PANGKAT(Normalisasi!$L$31-Konvergensi!$D$195;2);PANGKAT(Normalisasi!$M$31-Konvergensi!$E$195;2);PANGKAT(Normalisasi!$N$31-Konvergensi!$F$195;2);PANGKAT(Normalisasi!$O$31-Konvergensi!$G$195;2);PANGKAT(Normalisasi!$P$31-Konvergensi!$H$195;2)))</f>
        <v/>
      </c>
      <c r="E235">
        <f>AKAR(JUMLAH(PANGKAT(Normalisasi!$J$31-Konvergensi!$B$196;2);PANGKAT(Normalisasi!$K$31-Konvergensi!$C$196;2);PANGKAT(Normalisasi!$L$31-Konvergensi!$D$196;2);PANGKAT(Normalisasi!$M$31-Konvergensi!$E$196;2);PANGKAT(Normalisasi!$N$31-Konvergensi!$F$196;2);PANGKAT(Normalisasi!$O$31-Konvergensi!$G$196;2);PANGKAT(Normalisasi!$P$31-Konvergensi!$H$196;2)))</f>
        <v/>
      </c>
      <c r="F235">
        <f>JIKA(C235&lt;=D235;=JIKA(C235&lt;=E235;0;2);=JIKA(D235&lt;=E235;1;2))</f>
        <v/>
      </c>
      <c r="G235">
        <f>JUMLAH(JIKA(F235=0;JUMLAH(PANGKAT(Normalisasi!$J$31-Konvergensi!$B$259;2);PANGKAT(Normalisasi!$K$31-Konvergensi!$C$259;2);PANGKAT(Normalisasi!$L$31-Konvergensi!$D$259;2);PANGKAT(Normalisasi!$M$31-Konvergensi!$E$259;2);PANGKAT(Normalisasi!$N$31-Konvergensi!$F$259;2);PANGKAT(Normalisasi!$O$31-Konvergensi!$G$259;2);PANGKAT(Normalisasi!$P$31-Konvergensi!$H$259;2));0);JIKA(F235=1;JUMLAH(PANGKAT(Normalisasi!$J$31-Konvergensi!$B$260;2);PANGKAT(Normalisasi!$K$31-Konvergensi!$C$260;2);PANGKAT(Normalisasi!$L$31-Konvergensi!$D$260;2);PANGKAT(Normalisasi!$M$31-Konvergensi!$E$260;2);PANGKAT(Normalisasi!$N$31-Konvergensi!$F$260;2);PANGKAT(Normalisasi!$O$31-Konvergensi!$G$260;2);PANGKAT(Normalisasi!$P$31-Konvergensi!$H$260;2));0);JIKA(F235=2;JUMLAH(PANGKAT(Normalisasi!$J$31-Konvergensi!$B$261;2);PANGKAT(Normalisasi!$K$31-Konvergensi!$C$261;2);PANGKAT(Normalisasi!$L$31-Konvergensi!$D$261;2);PANGKAT(Normalisasi!$M$31-Konvergensi!$E$261;2);PANGKAT(Normalisasi!$N$31-Konvergensi!$F$261;2);PANGKAT(Normalisasi!$O$31-Konvergensi!$G$261;2);PANGKAT(Normalisasi!$P$31-Konvergensi!$H$261;2));0))</f>
        <v/>
      </c>
      <c r="H235" t="n">
        <v>0</v>
      </c>
      <c r="I235" t="n">
        <v>7.564269743500846</v>
      </c>
    </row>
    <row r="236">
      <c r="A236">
        <f>Data_Awal!A32</f>
        <v/>
      </c>
      <c r="B236">
        <f>Data_Awal!B32</f>
        <v/>
      </c>
      <c r="C236">
        <f>AKAR(JUMLAH(PANGKAT(Normalisasi!$J$32-Konvergensi!$B$194;2);PANGKAT(Normalisasi!$K$32-Konvergensi!$C$194;2);PANGKAT(Normalisasi!$L$32-Konvergensi!$D$194;2);PANGKAT(Normalisasi!$M$32-Konvergensi!$E$194;2);PANGKAT(Normalisasi!$N$32-Konvergensi!$F$194;2);PANGKAT(Normalisasi!$O$32-Konvergensi!$G$194;2);PANGKAT(Normalisasi!$P$32-Konvergensi!$H$194;2)))</f>
        <v/>
      </c>
      <c r="D236">
        <f>AKAR(JUMLAH(PANGKAT(Normalisasi!$J$32-Konvergensi!$B$195;2);PANGKAT(Normalisasi!$K$32-Konvergensi!$C$195;2);PANGKAT(Normalisasi!$L$32-Konvergensi!$D$195;2);PANGKAT(Normalisasi!$M$32-Konvergensi!$E$195;2);PANGKAT(Normalisasi!$N$32-Konvergensi!$F$195;2);PANGKAT(Normalisasi!$O$32-Konvergensi!$G$195;2);PANGKAT(Normalisasi!$P$32-Konvergensi!$H$195;2)))</f>
        <v/>
      </c>
      <c r="E236">
        <f>AKAR(JUMLAH(PANGKAT(Normalisasi!$J$32-Konvergensi!$B$196;2);PANGKAT(Normalisasi!$K$32-Konvergensi!$C$196;2);PANGKAT(Normalisasi!$L$32-Konvergensi!$D$196;2);PANGKAT(Normalisasi!$M$32-Konvergensi!$E$196;2);PANGKAT(Normalisasi!$N$32-Konvergensi!$F$196;2);PANGKAT(Normalisasi!$O$32-Konvergensi!$G$196;2);PANGKAT(Normalisasi!$P$32-Konvergensi!$H$196;2)))</f>
        <v/>
      </c>
      <c r="F236">
        <f>JIKA(C236&lt;=D236;=JIKA(C236&lt;=E236;0;2);=JIKA(D236&lt;=E236;1;2))</f>
        <v/>
      </c>
      <c r="G236">
        <f>JUMLAH(JIKA(F236=0;JUMLAH(PANGKAT(Normalisasi!$J$32-Konvergensi!$B$259;2);PANGKAT(Normalisasi!$K$32-Konvergensi!$C$259;2);PANGKAT(Normalisasi!$L$32-Konvergensi!$D$259;2);PANGKAT(Normalisasi!$M$32-Konvergensi!$E$259;2);PANGKAT(Normalisasi!$N$32-Konvergensi!$F$259;2);PANGKAT(Normalisasi!$O$32-Konvergensi!$G$259;2);PANGKAT(Normalisasi!$P$32-Konvergensi!$H$259;2));0);JIKA(F236=1;JUMLAH(PANGKAT(Normalisasi!$J$32-Konvergensi!$B$260;2);PANGKAT(Normalisasi!$K$32-Konvergensi!$C$260;2);PANGKAT(Normalisasi!$L$32-Konvergensi!$D$260;2);PANGKAT(Normalisasi!$M$32-Konvergensi!$E$260;2);PANGKAT(Normalisasi!$N$32-Konvergensi!$F$260;2);PANGKAT(Normalisasi!$O$32-Konvergensi!$G$260;2);PANGKAT(Normalisasi!$P$32-Konvergensi!$H$260;2));0);JIKA(F236=2;JUMLAH(PANGKAT(Normalisasi!$J$32-Konvergensi!$B$261;2);PANGKAT(Normalisasi!$K$32-Konvergensi!$C$261;2);PANGKAT(Normalisasi!$L$32-Konvergensi!$D$261;2);PANGKAT(Normalisasi!$M$32-Konvergensi!$E$261;2);PANGKAT(Normalisasi!$N$32-Konvergensi!$F$261;2);PANGKAT(Normalisasi!$O$32-Konvergensi!$G$261;2);PANGKAT(Normalisasi!$P$32-Konvergensi!$H$261;2));0))</f>
        <v/>
      </c>
      <c r="H236" t="n">
        <v>0</v>
      </c>
      <c r="I236" t="n">
        <v>5.067687449947568</v>
      </c>
    </row>
    <row r="237">
      <c r="A237">
        <f>Data_Awal!A33</f>
        <v/>
      </c>
      <c r="B237">
        <f>Data_Awal!B33</f>
        <v/>
      </c>
      <c r="C237">
        <f>AKAR(JUMLAH(PANGKAT(Normalisasi!$J$33-Konvergensi!$B$194;2);PANGKAT(Normalisasi!$K$33-Konvergensi!$C$194;2);PANGKAT(Normalisasi!$L$33-Konvergensi!$D$194;2);PANGKAT(Normalisasi!$M$33-Konvergensi!$E$194;2);PANGKAT(Normalisasi!$N$33-Konvergensi!$F$194;2);PANGKAT(Normalisasi!$O$33-Konvergensi!$G$194;2);PANGKAT(Normalisasi!$P$33-Konvergensi!$H$194;2)))</f>
        <v/>
      </c>
      <c r="D237">
        <f>AKAR(JUMLAH(PANGKAT(Normalisasi!$J$33-Konvergensi!$B$195;2);PANGKAT(Normalisasi!$K$33-Konvergensi!$C$195;2);PANGKAT(Normalisasi!$L$33-Konvergensi!$D$195;2);PANGKAT(Normalisasi!$M$33-Konvergensi!$E$195;2);PANGKAT(Normalisasi!$N$33-Konvergensi!$F$195;2);PANGKAT(Normalisasi!$O$33-Konvergensi!$G$195;2);PANGKAT(Normalisasi!$P$33-Konvergensi!$H$195;2)))</f>
        <v/>
      </c>
      <c r="E237">
        <f>AKAR(JUMLAH(PANGKAT(Normalisasi!$J$33-Konvergensi!$B$196;2);PANGKAT(Normalisasi!$K$33-Konvergensi!$C$196;2);PANGKAT(Normalisasi!$L$33-Konvergensi!$D$196;2);PANGKAT(Normalisasi!$M$33-Konvergensi!$E$196;2);PANGKAT(Normalisasi!$N$33-Konvergensi!$F$196;2);PANGKAT(Normalisasi!$O$33-Konvergensi!$G$196;2);PANGKAT(Normalisasi!$P$33-Konvergensi!$H$196;2)))</f>
        <v/>
      </c>
      <c r="F237">
        <f>JIKA(C237&lt;=D237;=JIKA(C237&lt;=E237;0;2);=JIKA(D237&lt;=E237;1;2))</f>
        <v/>
      </c>
      <c r="G237">
        <f>JUMLAH(JIKA(F237=0;JUMLAH(PANGKAT(Normalisasi!$J$33-Konvergensi!$B$259;2);PANGKAT(Normalisasi!$K$33-Konvergensi!$C$259;2);PANGKAT(Normalisasi!$L$33-Konvergensi!$D$259;2);PANGKAT(Normalisasi!$M$33-Konvergensi!$E$259;2);PANGKAT(Normalisasi!$N$33-Konvergensi!$F$259;2);PANGKAT(Normalisasi!$O$33-Konvergensi!$G$259;2);PANGKAT(Normalisasi!$P$33-Konvergensi!$H$259;2));0);JIKA(F237=1;JUMLAH(PANGKAT(Normalisasi!$J$33-Konvergensi!$B$260;2);PANGKAT(Normalisasi!$K$33-Konvergensi!$C$260;2);PANGKAT(Normalisasi!$L$33-Konvergensi!$D$260;2);PANGKAT(Normalisasi!$M$33-Konvergensi!$E$260;2);PANGKAT(Normalisasi!$N$33-Konvergensi!$F$260;2);PANGKAT(Normalisasi!$O$33-Konvergensi!$G$260;2);PANGKAT(Normalisasi!$P$33-Konvergensi!$H$260;2));0);JIKA(F237=2;JUMLAH(PANGKAT(Normalisasi!$J$33-Konvergensi!$B$261;2);PANGKAT(Normalisasi!$K$33-Konvergensi!$C$261;2);PANGKAT(Normalisasi!$L$33-Konvergensi!$D$261;2);PANGKAT(Normalisasi!$M$33-Konvergensi!$E$261;2);PANGKAT(Normalisasi!$N$33-Konvergensi!$F$261;2);PANGKAT(Normalisasi!$O$33-Konvergensi!$G$261;2);PANGKAT(Normalisasi!$P$33-Konvergensi!$H$261;2));0))</f>
        <v/>
      </c>
      <c r="H237" t="n">
        <v>0</v>
      </c>
      <c r="I237" t="n">
        <v>7.379577015956771</v>
      </c>
    </row>
    <row r="238">
      <c r="A238">
        <f>Data_Awal!A34</f>
        <v/>
      </c>
      <c r="B238">
        <f>Data_Awal!B34</f>
        <v/>
      </c>
      <c r="C238">
        <f>AKAR(JUMLAH(PANGKAT(Normalisasi!$J$34-Konvergensi!$B$194;2);PANGKAT(Normalisasi!$K$34-Konvergensi!$C$194;2);PANGKAT(Normalisasi!$L$34-Konvergensi!$D$194;2);PANGKAT(Normalisasi!$M$34-Konvergensi!$E$194;2);PANGKAT(Normalisasi!$N$34-Konvergensi!$F$194;2);PANGKAT(Normalisasi!$O$34-Konvergensi!$G$194;2);PANGKAT(Normalisasi!$P$34-Konvergensi!$H$194;2)))</f>
        <v/>
      </c>
      <c r="D238">
        <f>AKAR(JUMLAH(PANGKAT(Normalisasi!$J$34-Konvergensi!$B$195;2);PANGKAT(Normalisasi!$K$34-Konvergensi!$C$195;2);PANGKAT(Normalisasi!$L$34-Konvergensi!$D$195;2);PANGKAT(Normalisasi!$M$34-Konvergensi!$E$195;2);PANGKAT(Normalisasi!$N$34-Konvergensi!$F$195;2);PANGKAT(Normalisasi!$O$34-Konvergensi!$G$195;2);PANGKAT(Normalisasi!$P$34-Konvergensi!$H$195;2)))</f>
        <v/>
      </c>
      <c r="E238">
        <f>AKAR(JUMLAH(PANGKAT(Normalisasi!$J$34-Konvergensi!$B$196;2);PANGKAT(Normalisasi!$K$34-Konvergensi!$C$196;2);PANGKAT(Normalisasi!$L$34-Konvergensi!$D$196;2);PANGKAT(Normalisasi!$M$34-Konvergensi!$E$196;2);PANGKAT(Normalisasi!$N$34-Konvergensi!$F$196;2);PANGKAT(Normalisasi!$O$34-Konvergensi!$G$196;2);PANGKAT(Normalisasi!$P$34-Konvergensi!$H$196;2)))</f>
        <v/>
      </c>
      <c r="F238">
        <f>JIKA(C238&lt;=D238;=JIKA(C238&lt;=E238;0;2);=JIKA(D238&lt;=E238;1;2))</f>
        <v/>
      </c>
      <c r="G238">
        <f>JUMLAH(JIKA(F238=0;JUMLAH(PANGKAT(Normalisasi!$J$34-Konvergensi!$B$259;2);PANGKAT(Normalisasi!$K$34-Konvergensi!$C$259;2);PANGKAT(Normalisasi!$L$34-Konvergensi!$D$259;2);PANGKAT(Normalisasi!$M$34-Konvergensi!$E$259;2);PANGKAT(Normalisasi!$N$34-Konvergensi!$F$259;2);PANGKAT(Normalisasi!$O$34-Konvergensi!$G$259;2);PANGKAT(Normalisasi!$P$34-Konvergensi!$H$259;2));0);JIKA(F238=1;JUMLAH(PANGKAT(Normalisasi!$J$34-Konvergensi!$B$260;2);PANGKAT(Normalisasi!$K$34-Konvergensi!$C$260;2);PANGKAT(Normalisasi!$L$34-Konvergensi!$D$260;2);PANGKAT(Normalisasi!$M$34-Konvergensi!$E$260;2);PANGKAT(Normalisasi!$N$34-Konvergensi!$F$260;2);PANGKAT(Normalisasi!$O$34-Konvergensi!$G$260;2);PANGKAT(Normalisasi!$P$34-Konvergensi!$H$260;2));0);JIKA(F238=2;JUMLAH(PANGKAT(Normalisasi!$J$34-Konvergensi!$B$261;2);PANGKAT(Normalisasi!$K$34-Konvergensi!$C$261;2);PANGKAT(Normalisasi!$L$34-Konvergensi!$D$261;2);PANGKAT(Normalisasi!$M$34-Konvergensi!$E$261;2);PANGKAT(Normalisasi!$N$34-Konvergensi!$F$261;2);PANGKAT(Normalisasi!$O$34-Konvergensi!$G$261;2);PANGKAT(Normalisasi!$P$34-Konvergensi!$H$261;2));0))</f>
        <v/>
      </c>
      <c r="H238" t="n">
        <v>1</v>
      </c>
      <c r="I238" t="n">
        <v>1.796962155428233</v>
      </c>
    </row>
    <row r="239">
      <c r="A239">
        <f>Data_Awal!A35</f>
        <v/>
      </c>
      <c r="B239">
        <f>Data_Awal!B35</f>
        <v/>
      </c>
      <c r="C239">
        <f>AKAR(JUMLAH(PANGKAT(Normalisasi!$J$35-Konvergensi!$B$194;2);PANGKAT(Normalisasi!$K$35-Konvergensi!$C$194;2);PANGKAT(Normalisasi!$L$35-Konvergensi!$D$194;2);PANGKAT(Normalisasi!$M$35-Konvergensi!$E$194;2);PANGKAT(Normalisasi!$N$35-Konvergensi!$F$194;2);PANGKAT(Normalisasi!$O$35-Konvergensi!$G$194;2);PANGKAT(Normalisasi!$P$35-Konvergensi!$H$194;2)))</f>
        <v/>
      </c>
      <c r="D239">
        <f>AKAR(JUMLAH(PANGKAT(Normalisasi!$J$35-Konvergensi!$B$195;2);PANGKAT(Normalisasi!$K$35-Konvergensi!$C$195;2);PANGKAT(Normalisasi!$L$35-Konvergensi!$D$195;2);PANGKAT(Normalisasi!$M$35-Konvergensi!$E$195;2);PANGKAT(Normalisasi!$N$35-Konvergensi!$F$195;2);PANGKAT(Normalisasi!$O$35-Konvergensi!$G$195;2);PANGKAT(Normalisasi!$P$35-Konvergensi!$H$195;2)))</f>
        <v/>
      </c>
      <c r="E239">
        <f>AKAR(JUMLAH(PANGKAT(Normalisasi!$J$35-Konvergensi!$B$196;2);PANGKAT(Normalisasi!$K$35-Konvergensi!$C$196;2);PANGKAT(Normalisasi!$L$35-Konvergensi!$D$196;2);PANGKAT(Normalisasi!$M$35-Konvergensi!$E$196;2);PANGKAT(Normalisasi!$N$35-Konvergensi!$F$196;2);PANGKAT(Normalisasi!$O$35-Konvergensi!$G$196;2);PANGKAT(Normalisasi!$P$35-Konvergensi!$H$196;2)))</f>
        <v/>
      </c>
      <c r="F239">
        <f>JIKA(C239&lt;=D239;=JIKA(C239&lt;=E239;0;2);=JIKA(D239&lt;=E239;1;2))</f>
        <v/>
      </c>
      <c r="G239">
        <f>JUMLAH(JIKA(F239=0;JUMLAH(PANGKAT(Normalisasi!$J$35-Konvergensi!$B$259;2);PANGKAT(Normalisasi!$K$35-Konvergensi!$C$259;2);PANGKAT(Normalisasi!$L$35-Konvergensi!$D$259;2);PANGKAT(Normalisasi!$M$35-Konvergensi!$E$259;2);PANGKAT(Normalisasi!$N$35-Konvergensi!$F$259;2);PANGKAT(Normalisasi!$O$35-Konvergensi!$G$259;2);PANGKAT(Normalisasi!$P$35-Konvergensi!$H$259;2));0);JIKA(F239=1;JUMLAH(PANGKAT(Normalisasi!$J$35-Konvergensi!$B$260;2);PANGKAT(Normalisasi!$K$35-Konvergensi!$C$260;2);PANGKAT(Normalisasi!$L$35-Konvergensi!$D$260;2);PANGKAT(Normalisasi!$M$35-Konvergensi!$E$260;2);PANGKAT(Normalisasi!$N$35-Konvergensi!$F$260;2);PANGKAT(Normalisasi!$O$35-Konvergensi!$G$260;2);PANGKAT(Normalisasi!$P$35-Konvergensi!$H$260;2));0);JIKA(F239=2;JUMLAH(PANGKAT(Normalisasi!$J$35-Konvergensi!$B$261;2);PANGKAT(Normalisasi!$K$35-Konvergensi!$C$261;2);PANGKAT(Normalisasi!$L$35-Konvergensi!$D$261;2);PANGKAT(Normalisasi!$M$35-Konvergensi!$E$261;2);PANGKAT(Normalisasi!$N$35-Konvergensi!$F$261;2);PANGKAT(Normalisasi!$O$35-Konvergensi!$G$261;2);PANGKAT(Normalisasi!$P$35-Konvergensi!$H$261;2));0))</f>
        <v/>
      </c>
      <c r="H239" t="n">
        <v>0</v>
      </c>
      <c r="I239" t="n">
        <v>3.848103608564193</v>
      </c>
    </row>
    <row r="240">
      <c r="A240">
        <f>Data_Awal!A36</f>
        <v/>
      </c>
      <c r="B240">
        <f>Data_Awal!B36</f>
        <v/>
      </c>
      <c r="C240">
        <f>AKAR(JUMLAH(PANGKAT(Normalisasi!$J$36-Konvergensi!$B$194;2);PANGKAT(Normalisasi!$K$36-Konvergensi!$C$194;2);PANGKAT(Normalisasi!$L$36-Konvergensi!$D$194;2);PANGKAT(Normalisasi!$M$36-Konvergensi!$E$194;2);PANGKAT(Normalisasi!$N$36-Konvergensi!$F$194;2);PANGKAT(Normalisasi!$O$36-Konvergensi!$G$194;2);PANGKAT(Normalisasi!$P$36-Konvergensi!$H$194;2)))</f>
        <v/>
      </c>
      <c r="D240">
        <f>AKAR(JUMLAH(PANGKAT(Normalisasi!$J$36-Konvergensi!$B$195;2);PANGKAT(Normalisasi!$K$36-Konvergensi!$C$195;2);PANGKAT(Normalisasi!$L$36-Konvergensi!$D$195;2);PANGKAT(Normalisasi!$M$36-Konvergensi!$E$195;2);PANGKAT(Normalisasi!$N$36-Konvergensi!$F$195;2);PANGKAT(Normalisasi!$O$36-Konvergensi!$G$195;2);PANGKAT(Normalisasi!$P$36-Konvergensi!$H$195;2)))</f>
        <v/>
      </c>
      <c r="E240">
        <f>AKAR(JUMLAH(PANGKAT(Normalisasi!$J$36-Konvergensi!$B$196;2);PANGKAT(Normalisasi!$K$36-Konvergensi!$C$196;2);PANGKAT(Normalisasi!$L$36-Konvergensi!$D$196;2);PANGKAT(Normalisasi!$M$36-Konvergensi!$E$196;2);PANGKAT(Normalisasi!$N$36-Konvergensi!$F$196;2);PANGKAT(Normalisasi!$O$36-Konvergensi!$G$196;2);PANGKAT(Normalisasi!$P$36-Konvergensi!$H$196;2)))</f>
        <v/>
      </c>
      <c r="F240">
        <f>JIKA(C240&lt;=D240;=JIKA(C240&lt;=E240;0;2);=JIKA(D240&lt;=E240;1;2))</f>
        <v/>
      </c>
      <c r="G240">
        <f>JUMLAH(JIKA(F240=0;JUMLAH(PANGKAT(Normalisasi!$J$36-Konvergensi!$B$259;2);PANGKAT(Normalisasi!$K$36-Konvergensi!$C$259;2);PANGKAT(Normalisasi!$L$36-Konvergensi!$D$259;2);PANGKAT(Normalisasi!$M$36-Konvergensi!$E$259;2);PANGKAT(Normalisasi!$N$36-Konvergensi!$F$259;2);PANGKAT(Normalisasi!$O$36-Konvergensi!$G$259;2);PANGKAT(Normalisasi!$P$36-Konvergensi!$H$259;2));0);JIKA(F240=1;JUMLAH(PANGKAT(Normalisasi!$J$36-Konvergensi!$B$260;2);PANGKAT(Normalisasi!$K$36-Konvergensi!$C$260;2);PANGKAT(Normalisasi!$L$36-Konvergensi!$D$260;2);PANGKAT(Normalisasi!$M$36-Konvergensi!$E$260;2);PANGKAT(Normalisasi!$N$36-Konvergensi!$F$260;2);PANGKAT(Normalisasi!$O$36-Konvergensi!$G$260;2);PANGKAT(Normalisasi!$P$36-Konvergensi!$H$260;2));0);JIKA(F240=2;JUMLAH(PANGKAT(Normalisasi!$J$36-Konvergensi!$B$261;2);PANGKAT(Normalisasi!$K$36-Konvergensi!$C$261;2);PANGKAT(Normalisasi!$L$36-Konvergensi!$D$261;2);PANGKAT(Normalisasi!$M$36-Konvergensi!$E$261;2);PANGKAT(Normalisasi!$N$36-Konvergensi!$F$261;2);PANGKAT(Normalisasi!$O$36-Konvergensi!$G$261;2);PANGKAT(Normalisasi!$P$36-Konvergensi!$H$261;2));0))</f>
        <v/>
      </c>
      <c r="H240" t="n">
        <v>0</v>
      </c>
      <c r="I240" t="n">
        <v>5.121453507582575</v>
      </c>
    </row>
    <row r="241">
      <c r="A241">
        <f>Data_Awal!A37</f>
        <v/>
      </c>
      <c r="B241">
        <f>Data_Awal!B37</f>
        <v/>
      </c>
      <c r="C241">
        <f>AKAR(JUMLAH(PANGKAT(Normalisasi!$J$37-Konvergensi!$B$194;2);PANGKAT(Normalisasi!$K$37-Konvergensi!$C$194;2);PANGKAT(Normalisasi!$L$37-Konvergensi!$D$194;2);PANGKAT(Normalisasi!$M$37-Konvergensi!$E$194;2);PANGKAT(Normalisasi!$N$37-Konvergensi!$F$194;2);PANGKAT(Normalisasi!$O$37-Konvergensi!$G$194;2);PANGKAT(Normalisasi!$P$37-Konvergensi!$H$194;2)))</f>
        <v/>
      </c>
      <c r="D241">
        <f>AKAR(JUMLAH(PANGKAT(Normalisasi!$J$37-Konvergensi!$B$195;2);PANGKAT(Normalisasi!$K$37-Konvergensi!$C$195;2);PANGKAT(Normalisasi!$L$37-Konvergensi!$D$195;2);PANGKAT(Normalisasi!$M$37-Konvergensi!$E$195;2);PANGKAT(Normalisasi!$N$37-Konvergensi!$F$195;2);PANGKAT(Normalisasi!$O$37-Konvergensi!$G$195;2);PANGKAT(Normalisasi!$P$37-Konvergensi!$H$195;2)))</f>
        <v/>
      </c>
      <c r="E241">
        <f>AKAR(JUMLAH(PANGKAT(Normalisasi!$J$37-Konvergensi!$B$196;2);PANGKAT(Normalisasi!$K$37-Konvergensi!$C$196;2);PANGKAT(Normalisasi!$L$37-Konvergensi!$D$196;2);PANGKAT(Normalisasi!$M$37-Konvergensi!$E$196;2);PANGKAT(Normalisasi!$N$37-Konvergensi!$F$196;2);PANGKAT(Normalisasi!$O$37-Konvergensi!$G$196;2);PANGKAT(Normalisasi!$P$37-Konvergensi!$H$196;2)))</f>
        <v/>
      </c>
      <c r="F241">
        <f>JIKA(C241&lt;=D241;=JIKA(C241&lt;=E241;0;2);=JIKA(D241&lt;=E241;1;2))</f>
        <v/>
      </c>
      <c r="G241">
        <f>JUMLAH(JIKA(F241=0;JUMLAH(PANGKAT(Normalisasi!$J$37-Konvergensi!$B$259;2);PANGKAT(Normalisasi!$K$37-Konvergensi!$C$259;2);PANGKAT(Normalisasi!$L$37-Konvergensi!$D$259;2);PANGKAT(Normalisasi!$M$37-Konvergensi!$E$259;2);PANGKAT(Normalisasi!$N$37-Konvergensi!$F$259;2);PANGKAT(Normalisasi!$O$37-Konvergensi!$G$259;2);PANGKAT(Normalisasi!$P$37-Konvergensi!$H$259;2));0);JIKA(F241=1;JUMLAH(PANGKAT(Normalisasi!$J$37-Konvergensi!$B$260;2);PANGKAT(Normalisasi!$K$37-Konvergensi!$C$260;2);PANGKAT(Normalisasi!$L$37-Konvergensi!$D$260;2);PANGKAT(Normalisasi!$M$37-Konvergensi!$E$260;2);PANGKAT(Normalisasi!$N$37-Konvergensi!$F$260;2);PANGKAT(Normalisasi!$O$37-Konvergensi!$G$260;2);PANGKAT(Normalisasi!$P$37-Konvergensi!$H$260;2));0);JIKA(F241=2;JUMLAH(PANGKAT(Normalisasi!$J$37-Konvergensi!$B$261;2);PANGKAT(Normalisasi!$K$37-Konvergensi!$C$261;2);PANGKAT(Normalisasi!$L$37-Konvergensi!$D$261;2);PANGKAT(Normalisasi!$M$37-Konvergensi!$E$261;2);PANGKAT(Normalisasi!$N$37-Konvergensi!$F$261;2);PANGKAT(Normalisasi!$O$37-Konvergensi!$G$261;2);PANGKAT(Normalisasi!$P$37-Konvergensi!$H$261;2));0))</f>
        <v/>
      </c>
      <c r="H241" t="n">
        <v>0</v>
      </c>
      <c r="I241" t="n">
        <v>5.882794616556094</v>
      </c>
    </row>
    <row r="242">
      <c r="A242">
        <f>Data_Awal!A38</f>
        <v/>
      </c>
      <c r="B242">
        <f>Data_Awal!B38</f>
        <v/>
      </c>
      <c r="C242">
        <f>AKAR(JUMLAH(PANGKAT(Normalisasi!$J$38-Konvergensi!$B$194;2);PANGKAT(Normalisasi!$K$38-Konvergensi!$C$194;2);PANGKAT(Normalisasi!$L$38-Konvergensi!$D$194;2);PANGKAT(Normalisasi!$M$38-Konvergensi!$E$194;2);PANGKAT(Normalisasi!$N$38-Konvergensi!$F$194;2);PANGKAT(Normalisasi!$O$38-Konvergensi!$G$194;2);PANGKAT(Normalisasi!$P$38-Konvergensi!$H$194;2)))</f>
        <v/>
      </c>
      <c r="D242">
        <f>AKAR(JUMLAH(PANGKAT(Normalisasi!$J$38-Konvergensi!$B$195;2);PANGKAT(Normalisasi!$K$38-Konvergensi!$C$195;2);PANGKAT(Normalisasi!$L$38-Konvergensi!$D$195;2);PANGKAT(Normalisasi!$M$38-Konvergensi!$E$195;2);PANGKAT(Normalisasi!$N$38-Konvergensi!$F$195;2);PANGKAT(Normalisasi!$O$38-Konvergensi!$G$195;2);PANGKAT(Normalisasi!$P$38-Konvergensi!$H$195;2)))</f>
        <v/>
      </c>
      <c r="E242">
        <f>AKAR(JUMLAH(PANGKAT(Normalisasi!$J$38-Konvergensi!$B$196;2);PANGKAT(Normalisasi!$K$38-Konvergensi!$C$196;2);PANGKAT(Normalisasi!$L$38-Konvergensi!$D$196;2);PANGKAT(Normalisasi!$M$38-Konvergensi!$E$196;2);PANGKAT(Normalisasi!$N$38-Konvergensi!$F$196;2);PANGKAT(Normalisasi!$O$38-Konvergensi!$G$196;2);PANGKAT(Normalisasi!$P$38-Konvergensi!$H$196;2)))</f>
        <v/>
      </c>
      <c r="F242">
        <f>JIKA(C242&lt;=D242;=JIKA(C242&lt;=E242;0;2);=JIKA(D242&lt;=E242;1;2))</f>
        <v/>
      </c>
      <c r="G242">
        <f>JUMLAH(JIKA(F242=0;JUMLAH(PANGKAT(Normalisasi!$J$38-Konvergensi!$B$259;2);PANGKAT(Normalisasi!$K$38-Konvergensi!$C$259;2);PANGKAT(Normalisasi!$L$38-Konvergensi!$D$259;2);PANGKAT(Normalisasi!$M$38-Konvergensi!$E$259;2);PANGKAT(Normalisasi!$N$38-Konvergensi!$F$259;2);PANGKAT(Normalisasi!$O$38-Konvergensi!$G$259;2);PANGKAT(Normalisasi!$P$38-Konvergensi!$H$259;2));0);JIKA(F242=1;JUMLAH(PANGKAT(Normalisasi!$J$38-Konvergensi!$B$260;2);PANGKAT(Normalisasi!$K$38-Konvergensi!$C$260;2);PANGKAT(Normalisasi!$L$38-Konvergensi!$D$260;2);PANGKAT(Normalisasi!$M$38-Konvergensi!$E$260;2);PANGKAT(Normalisasi!$N$38-Konvergensi!$F$260;2);PANGKAT(Normalisasi!$O$38-Konvergensi!$G$260;2);PANGKAT(Normalisasi!$P$38-Konvergensi!$H$260;2));0);JIKA(F242=2;JUMLAH(PANGKAT(Normalisasi!$J$38-Konvergensi!$B$261;2);PANGKAT(Normalisasi!$K$38-Konvergensi!$C$261;2);PANGKAT(Normalisasi!$L$38-Konvergensi!$D$261;2);PANGKAT(Normalisasi!$M$38-Konvergensi!$E$261;2);PANGKAT(Normalisasi!$N$38-Konvergensi!$F$261;2);PANGKAT(Normalisasi!$O$38-Konvergensi!$G$261;2);PANGKAT(Normalisasi!$P$38-Konvergensi!$H$261;2));0))</f>
        <v/>
      </c>
      <c r="H242" t="n">
        <v>1</v>
      </c>
      <c r="I242" t="n">
        <v>4.046573155424091</v>
      </c>
    </row>
    <row r="243">
      <c r="A243">
        <f>Data_Awal!A39</f>
        <v/>
      </c>
      <c r="B243">
        <f>Data_Awal!B39</f>
        <v/>
      </c>
      <c r="C243">
        <f>AKAR(JUMLAH(PANGKAT(Normalisasi!$J$39-Konvergensi!$B$194;2);PANGKAT(Normalisasi!$K$39-Konvergensi!$C$194;2);PANGKAT(Normalisasi!$L$39-Konvergensi!$D$194;2);PANGKAT(Normalisasi!$M$39-Konvergensi!$E$194;2);PANGKAT(Normalisasi!$N$39-Konvergensi!$F$194;2);PANGKAT(Normalisasi!$O$39-Konvergensi!$G$194;2);PANGKAT(Normalisasi!$P$39-Konvergensi!$H$194;2)))</f>
        <v/>
      </c>
      <c r="D243">
        <f>AKAR(JUMLAH(PANGKAT(Normalisasi!$J$39-Konvergensi!$B$195;2);PANGKAT(Normalisasi!$K$39-Konvergensi!$C$195;2);PANGKAT(Normalisasi!$L$39-Konvergensi!$D$195;2);PANGKAT(Normalisasi!$M$39-Konvergensi!$E$195;2);PANGKAT(Normalisasi!$N$39-Konvergensi!$F$195;2);PANGKAT(Normalisasi!$O$39-Konvergensi!$G$195;2);PANGKAT(Normalisasi!$P$39-Konvergensi!$H$195;2)))</f>
        <v/>
      </c>
      <c r="E243">
        <f>AKAR(JUMLAH(PANGKAT(Normalisasi!$J$39-Konvergensi!$B$196;2);PANGKAT(Normalisasi!$K$39-Konvergensi!$C$196;2);PANGKAT(Normalisasi!$L$39-Konvergensi!$D$196;2);PANGKAT(Normalisasi!$M$39-Konvergensi!$E$196;2);PANGKAT(Normalisasi!$N$39-Konvergensi!$F$196;2);PANGKAT(Normalisasi!$O$39-Konvergensi!$G$196;2);PANGKAT(Normalisasi!$P$39-Konvergensi!$H$196;2)))</f>
        <v/>
      </c>
      <c r="F243">
        <f>JIKA(C243&lt;=D243;=JIKA(C243&lt;=E243;0;2);=JIKA(D243&lt;=E243;1;2))</f>
        <v/>
      </c>
      <c r="G243">
        <f>JUMLAH(JIKA(F243=0;JUMLAH(PANGKAT(Normalisasi!$J$39-Konvergensi!$B$259;2);PANGKAT(Normalisasi!$K$39-Konvergensi!$C$259;2);PANGKAT(Normalisasi!$L$39-Konvergensi!$D$259;2);PANGKAT(Normalisasi!$M$39-Konvergensi!$E$259;2);PANGKAT(Normalisasi!$N$39-Konvergensi!$F$259;2);PANGKAT(Normalisasi!$O$39-Konvergensi!$G$259;2);PANGKAT(Normalisasi!$P$39-Konvergensi!$H$259;2));0);JIKA(F243=1;JUMLAH(PANGKAT(Normalisasi!$J$39-Konvergensi!$B$260;2);PANGKAT(Normalisasi!$K$39-Konvergensi!$C$260;2);PANGKAT(Normalisasi!$L$39-Konvergensi!$D$260;2);PANGKAT(Normalisasi!$M$39-Konvergensi!$E$260;2);PANGKAT(Normalisasi!$N$39-Konvergensi!$F$260;2);PANGKAT(Normalisasi!$O$39-Konvergensi!$G$260;2);PANGKAT(Normalisasi!$P$39-Konvergensi!$H$260;2));0);JIKA(F243=2;JUMLAH(PANGKAT(Normalisasi!$J$39-Konvergensi!$B$261;2);PANGKAT(Normalisasi!$K$39-Konvergensi!$C$261;2);PANGKAT(Normalisasi!$L$39-Konvergensi!$D$261;2);PANGKAT(Normalisasi!$M$39-Konvergensi!$E$261;2);PANGKAT(Normalisasi!$N$39-Konvergensi!$F$261;2);PANGKAT(Normalisasi!$O$39-Konvergensi!$G$261;2);PANGKAT(Normalisasi!$P$39-Konvergensi!$H$261;2));0))</f>
        <v/>
      </c>
      <c r="H243" t="n">
        <v>0</v>
      </c>
      <c r="I243" t="n">
        <v>10.12730355679364</v>
      </c>
    </row>
    <row r="244">
      <c r="A244">
        <f>Data_Awal!A40</f>
        <v/>
      </c>
      <c r="B244">
        <f>Data_Awal!B40</f>
        <v/>
      </c>
      <c r="C244">
        <f>AKAR(JUMLAH(PANGKAT(Normalisasi!$J$40-Konvergensi!$B$194;2);PANGKAT(Normalisasi!$K$40-Konvergensi!$C$194;2);PANGKAT(Normalisasi!$L$40-Konvergensi!$D$194;2);PANGKAT(Normalisasi!$M$40-Konvergensi!$E$194;2);PANGKAT(Normalisasi!$N$40-Konvergensi!$F$194;2);PANGKAT(Normalisasi!$O$40-Konvergensi!$G$194;2);PANGKAT(Normalisasi!$P$40-Konvergensi!$H$194;2)))</f>
        <v/>
      </c>
      <c r="D244">
        <f>AKAR(JUMLAH(PANGKAT(Normalisasi!$J$40-Konvergensi!$B$195;2);PANGKAT(Normalisasi!$K$40-Konvergensi!$C$195;2);PANGKAT(Normalisasi!$L$40-Konvergensi!$D$195;2);PANGKAT(Normalisasi!$M$40-Konvergensi!$E$195;2);PANGKAT(Normalisasi!$N$40-Konvergensi!$F$195;2);PANGKAT(Normalisasi!$O$40-Konvergensi!$G$195;2);PANGKAT(Normalisasi!$P$40-Konvergensi!$H$195;2)))</f>
        <v/>
      </c>
      <c r="E244">
        <f>AKAR(JUMLAH(PANGKAT(Normalisasi!$J$40-Konvergensi!$B$196;2);PANGKAT(Normalisasi!$K$40-Konvergensi!$C$196;2);PANGKAT(Normalisasi!$L$40-Konvergensi!$D$196;2);PANGKAT(Normalisasi!$M$40-Konvergensi!$E$196;2);PANGKAT(Normalisasi!$N$40-Konvergensi!$F$196;2);PANGKAT(Normalisasi!$O$40-Konvergensi!$G$196;2);PANGKAT(Normalisasi!$P$40-Konvergensi!$H$196;2)))</f>
        <v/>
      </c>
      <c r="F244">
        <f>JIKA(C244&lt;=D244;=JIKA(C244&lt;=E244;0;2);=JIKA(D244&lt;=E244;1;2))</f>
        <v/>
      </c>
      <c r="G244">
        <f>JUMLAH(JIKA(F244=0;JUMLAH(PANGKAT(Normalisasi!$J$40-Konvergensi!$B$259;2);PANGKAT(Normalisasi!$K$40-Konvergensi!$C$259;2);PANGKAT(Normalisasi!$L$40-Konvergensi!$D$259;2);PANGKAT(Normalisasi!$M$40-Konvergensi!$E$259;2);PANGKAT(Normalisasi!$N$40-Konvergensi!$F$259;2);PANGKAT(Normalisasi!$O$40-Konvergensi!$G$259;2);PANGKAT(Normalisasi!$P$40-Konvergensi!$H$259;2));0);JIKA(F244=1;JUMLAH(PANGKAT(Normalisasi!$J$40-Konvergensi!$B$260;2);PANGKAT(Normalisasi!$K$40-Konvergensi!$C$260;2);PANGKAT(Normalisasi!$L$40-Konvergensi!$D$260;2);PANGKAT(Normalisasi!$M$40-Konvergensi!$E$260;2);PANGKAT(Normalisasi!$N$40-Konvergensi!$F$260;2);PANGKAT(Normalisasi!$O$40-Konvergensi!$G$260;2);PANGKAT(Normalisasi!$P$40-Konvergensi!$H$260;2));0);JIKA(F244=2;JUMLAH(PANGKAT(Normalisasi!$J$40-Konvergensi!$B$261;2);PANGKAT(Normalisasi!$K$40-Konvergensi!$C$261;2);PANGKAT(Normalisasi!$L$40-Konvergensi!$D$261;2);PANGKAT(Normalisasi!$M$40-Konvergensi!$E$261;2);PANGKAT(Normalisasi!$N$40-Konvergensi!$F$261;2);PANGKAT(Normalisasi!$O$40-Konvergensi!$G$261;2);PANGKAT(Normalisasi!$P$40-Konvergensi!$H$261;2));0))</f>
        <v/>
      </c>
      <c r="H244" t="n">
        <v>1</v>
      </c>
      <c r="I244" t="n">
        <v>4.741221600312443</v>
      </c>
    </row>
    <row r="245">
      <c r="A245">
        <f>Data_Awal!A41</f>
        <v/>
      </c>
      <c r="B245">
        <f>Data_Awal!B41</f>
        <v/>
      </c>
      <c r="C245">
        <f>AKAR(JUMLAH(PANGKAT(Normalisasi!$J$41-Konvergensi!$B$194;2);PANGKAT(Normalisasi!$K$41-Konvergensi!$C$194;2);PANGKAT(Normalisasi!$L$41-Konvergensi!$D$194;2);PANGKAT(Normalisasi!$M$41-Konvergensi!$E$194;2);PANGKAT(Normalisasi!$N$41-Konvergensi!$F$194;2);PANGKAT(Normalisasi!$O$41-Konvergensi!$G$194;2);PANGKAT(Normalisasi!$P$41-Konvergensi!$H$194;2)))</f>
        <v/>
      </c>
      <c r="D245">
        <f>AKAR(JUMLAH(PANGKAT(Normalisasi!$J$41-Konvergensi!$B$195;2);PANGKAT(Normalisasi!$K$41-Konvergensi!$C$195;2);PANGKAT(Normalisasi!$L$41-Konvergensi!$D$195;2);PANGKAT(Normalisasi!$M$41-Konvergensi!$E$195;2);PANGKAT(Normalisasi!$N$41-Konvergensi!$F$195;2);PANGKAT(Normalisasi!$O$41-Konvergensi!$G$195;2);PANGKAT(Normalisasi!$P$41-Konvergensi!$H$195;2)))</f>
        <v/>
      </c>
      <c r="E245">
        <f>AKAR(JUMLAH(PANGKAT(Normalisasi!$J$41-Konvergensi!$B$196;2);PANGKAT(Normalisasi!$K$41-Konvergensi!$C$196;2);PANGKAT(Normalisasi!$L$41-Konvergensi!$D$196;2);PANGKAT(Normalisasi!$M$41-Konvergensi!$E$196;2);PANGKAT(Normalisasi!$N$41-Konvergensi!$F$196;2);PANGKAT(Normalisasi!$O$41-Konvergensi!$G$196;2);PANGKAT(Normalisasi!$P$41-Konvergensi!$H$196;2)))</f>
        <v/>
      </c>
      <c r="F245">
        <f>JIKA(C245&lt;=D245;=JIKA(C245&lt;=E245;0;2);=JIKA(D245&lt;=E245;1;2))</f>
        <v/>
      </c>
      <c r="G245">
        <f>JUMLAH(JIKA(F245=0;JUMLAH(PANGKAT(Normalisasi!$J$41-Konvergensi!$B$259;2);PANGKAT(Normalisasi!$K$41-Konvergensi!$C$259;2);PANGKAT(Normalisasi!$L$41-Konvergensi!$D$259;2);PANGKAT(Normalisasi!$M$41-Konvergensi!$E$259;2);PANGKAT(Normalisasi!$N$41-Konvergensi!$F$259;2);PANGKAT(Normalisasi!$O$41-Konvergensi!$G$259;2);PANGKAT(Normalisasi!$P$41-Konvergensi!$H$259;2));0);JIKA(F245=1;JUMLAH(PANGKAT(Normalisasi!$J$41-Konvergensi!$B$260;2);PANGKAT(Normalisasi!$K$41-Konvergensi!$C$260;2);PANGKAT(Normalisasi!$L$41-Konvergensi!$D$260;2);PANGKAT(Normalisasi!$M$41-Konvergensi!$E$260;2);PANGKAT(Normalisasi!$N$41-Konvergensi!$F$260;2);PANGKAT(Normalisasi!$O$41-Konvergensi!$G$260;2);PANGKAT(Normalisasi!$P$41-Konvergensi!$H$260;2));0);JIKA(F245=2;JUMLAH(PANGKAT(Normalisasi!$J$41-Konvergensi!$B$261;2);PANGKAT(Normalisasi!$K$41-Konvergensi!$C$261;2);PANGKAT(Normalisasi!$L$41-Konvergensi!$D$261;2);PANGKAT(Normalisasi!$M$41-Konvergensi!$E$261;2);PANGKAT(Normalisasi!$N$41-Konvergensi!$F$261;2);PANGKAT(Normalisasi!$O$41-Konvergensi!$G$261;2);PANGKAT(Normalisasi!$P$41-Konvergensi!$H$261;2));0))</f>
        <v/>
      </c>
      <c r="H245" t="n">
        <v>1</v>
      </c>
      <c r="I245" t="n">
        <v>7.305191963054995</v>
      </c>
    </row>
    <row r="246">
      <c r="A246">
        <f>Data_Awal!A42</f>
        <v/>
      </c>
      <c r="B246">
        <f>Data_Awal!B42</f>
        <v/>
      </c>
      <c r="C246">
        <f>AKAR(JUMLAH(PANGKAT(Normalisasi!$J$42-Konvergensi!$B$194;2);PANGKAT(Normalisasi!$K$42-Konvergensi!$C$194;2);PANGKAT(Normalisasi!$L$42-Konvergensi!$D$194;2);PANGKAT(Normalisasi!$M$42-Konvergensi!$E$194;2);PANGKAT(Normalisasi!$N$42-Konvergensi!$F$194;2);PANGKAT(Normalisasi!$O$42-Konvergensi!$G$194;2);PANGKAT(Normalisasi!$P$42-Konvergensi!$H$194;2)))</f>
        <v/>
      </c>
      <c r="D246">
        <f>AKAR(JUMLAH(PANGKAT(Normalisasi!$J$42-Konvergensi!$B$195;2);PANGKAT(Normalisasi!$K$42-Konvergensi!$C$195;2);PANGKAT(Normalisasi!$L$42-Konvergensi!$D$195;2);PANGKAT(Normalisasi!$M$42-Konvergensi!$E$195;2);PANGKAT(Normalisasi!$N$42-Konvergensi!$F$195;2);PANGKAT(Normalisasi!$O$42-Konvergensi!$G$195;2);PANGKAT(Normalisasi!$P$42-Konvergensi!$H$195;2)))</f>
        <v/>
      </c>
      <c r="E246">
        <f>AKAR(JUMLAH(PANGKAT(Normalisasi!$J$42-Konvergensi!$B$196;2);PANGKAT(Normalisasi!$K$42-Konvergensi!$C$196;2);PANGKAT(Normalisasi!$L$42-Konvergensi!$D$196;2);PANGKAT(Normalisasi!$M$42-Konvergensi!$E$196;2);PANGKAT(Normalisasi!$N$42-Konvergensi!$F$196;2);PANGKAT(Normalisasi!$O$42-Konvergensi!$G$196;2);PANGKAT(Normalisasi!$P$42-Konvergensi!$H$196;2)))</f>
        <v/>
      </c>
      <c r="F246">
        <f>JIKA(C246&lt;=D246;=JIKA(C246&lt;=E246;0;2);=JIKA(D246&lt;=E246;1;2))</f>
        <v/>
      </c>
      <c r="G246">
        <f>JUMLAH(JIKA(F246=0;JUMLAH(PANGKAT(Normalisasi!$J$42-Konvergensi!$B$259;2);PANGKAT(Normalisasi!$K$42-Konvergensi!$C$259;2);PANGKAT(Normalisasi!$L$42-Konvergensi!$D$259;2);PANGKAT(Normalisasi!$M$42-Konvergensi!$E$259;2);PANGKAT(Normalisasi!$N$42-Konvergensi!$F$259;2);PANGKAT(Normalisasi!$O$42-Konvergensi!$G$259;2);PANGKAT(Normalisasi!$P$42-Konvergensi!$H$259;2));0);JIKA(F246=1;JUMLAH(PANGKAT(Normalisasi!$J$42-Konvergensi!$B$260;2);PANGKAT(Normalisasi!$K$42-Konvergensi!$C$260;2);PANGKAT(Normalisasi!$L$42-Konvergensi!$D$260;2);PANGKAT(Normalisasi!$M$42-Konvergensi!$E$260;2);PANGKAT(Normalisasi!$N$42-Konvergensi!$F$260;2);PANGKAT(Normalisasi!$O$42-Konvergensi!$G$260;2);PANGKAT(Normalisasi!$P$42-Konvergensi!$H$260;2));0);JIKA(F246=2;JUMLAH(PANGKAT(Normalisasi!$J$42-Konvergensi!$B$261;2);PANGKAT(Normalisasi!$K$42-Konvergensi!$C$261;2);PANGKAT(Normalisasi!$L$42-Konvergensi!$D$261;2);PANGKAT(Normalisasi!$M$42-Konvergensi!$E$261;2);PANGKAT(Normalisasi!$N$42-Konvergensi!$F$261;2);PANGKAT(Normalisasi!$O$42-Konvergensi!$G$261;2);PANGKAT(Normalisasi!$P$42-Konvergensi!$H$261;2));0))</f>
        <v/>
      </c>
      <c r="H246" t="n">
        <v>0</v>
      </c>
      <c r="I246" t="n">
        <v>1.756539095652084</v>
      </c>
    </row>
    <row r="247">
      <c r="A247">
        <f>Data_Awal!A43</f>
        <v/>
      </c>
      <c r="B247">
        <f>Data_Awal!B43</f>
        <v/>
      </c>
      <c r="C247">
        <f>AKAR(JUMLAH(PANGKAT(Normalisasi!$J$43-Konvergensi!$B$194;2);PANGKAT(Normalisasi!$K$43-Konvergensi!$C$194;2);PANGKAT(Normalisasi!$L$43-Konvergensi!$D$194;2);PANGKAT(Normalisasi!$M$43-Konvergensi!$E$194;2);PANGKAT(Normalisasi!$N$43-Konvergensi!$F$194;2);PANGKAT(Normalisasi!$O$43-Konvergensi!$G$194;2);PANGKAT(Normalisasi!$P$43-Konvergensi!$H$194;2)))</f>
        <v/>
      </c>
      <c r="D247">
        <f>AKAR(JUMLAH(PANGKAT(Normalisasi!$J$43-Konvergensi!$B$195;2);PANGKAT(Normalisasi!$K$43-Konvergensi!$C$195;2);PANGKAT(Normalisasi!$L$43-Konvergensi!$D$195;2);PANGKAT(Normalisasi!$M$43-Konvergensi!$E$195;2);PANGKAT(Normalisasi!$N$43-Konvergensi!$F$195;2);PANGKAT(Normalisasi!$O$43-Konvergensi!$G$195;2);PANGKAT(Normalisasi!$P$43-Konvergensi!$H$195;2)))</f>
        <v/>
      </c>
      <c r="E247">
        <f>AKAR(JUMLAH(PANGKAT(Normalisasi!$J$43-Konvergensi!$B$196;2);PANGKAT(Normalisasi!$K$43-Konvergensi!$C$196;2);PANGKAT(Normalisasi!$L$43-Konvergensi!$D$196;2);PANGKAT(Normalisasi!$M$43-Konvergensi!$E$196;2);PANGKAT(Normalisasi!$N$43-Konvergensi!$F$196;2);PANGKAT(Normalisasi!$O$43-Konvergensi!$G$196;2);PANGKAT(Normalisasi!$P$43-Konvergensi!$H$196;2)))</f>
        <v/>
      </c>
      <c r="F247">
        <f>JIKA(C247&lt;=D247;=JIKA(C247&lt;=E247;0;2);=JIKA(D247&lt;=E247;1;2))</f>
        <v/>
      </c>
      <c r="G247">
        <f>JUMLAH(JIKA(F247=0;JUMLAH(PANGKAT(Normalisasi!$J$43-Konvergensi!$B$259;2);PANGKAT(Normalisasi!$K$43-Konvergensi!$C$259;2);PANGKAT(Normalisasi!$L$43-Konvergensi!$D$259;2);PANGKAT(Normalisasi!$M$43-Konvergensi!$E$259;2);PANGKAT(Normalisasi!$N$43-Konvergensi!$F$259;2);PANGKAT(Normalisasi!$O$43-Konvergensi!$G$259;2);PANGKAT(Normalisasi!$P$43-Konvergensi!$H$259;2));0);JIKA(F247=1;JUMLAH(PANGKAT(Normalisasi!$J$43-Konvergensi!$B$260;2);PANGKAT(Normalisasi!$K$43-Konvergensi!$C$260;2);PANGKAT(Normalisasi!$L$43-Konvergensi!$D$260;2);PANGKAT(Normalisasi!$M$43-Konvergensi!$E$260;2);PANGKAT(Normalisasi!$N$43-Konvergensi!$F$260;2);PANGKAT(Normalisasi!$O$43-Konvergensi!$G$260;2);PANGKAT(Normalisasi!$P$43-Konvergensi!$H$260;2));0);JIKA(F247=2;JUMLAH(PANGKAT(Normalisasi!$J$43-Konvergensi!$B$261;2);PANGKAT(Normalisasi!$K$43-Konvergensi!$C$261;2);PANGKAT(Normalisasi!$L$43-Konvergensi!$D$261;2);PANGKAT(Normalisasi!$M$43-Konvergensi!$E$261;2);PANGKAT(Normalisasi!$N$43-Konvergensi!$F$261;2);PANGKAT(Normalisasi!$O$43-Konvergensi!$G$261;2);PANGKAT(Normalisasi!$P$43-Konvergensi!$H$261;2));0))</f>
        <v/>
      </c>
      <c r="H247" t="n">
        <v>2</v>
      </c>
      <c r="I247" t="n">
        <v>5.062162420295331</v>
      </c>
    </row>
    <row r="248">
      <c r="A248">
        <f>Data_Awal!A44</f>
        <v/>
      </c>
      <c r="B248">
        <f>Data_Awal!B44</f>
        <v/>
      </c>
      <c r="C248">
        <f>AKAR(JUMLAH(PANGKAT(Normalisasi!$J$44-Konvergensi!$B$194;2);PANGKAT(Normalisasi!$K$44-Konvergensi!$C$194;2);PANGKAT(Normalisasi!$L$44-Konvergensi!$D$194;2);PANGKAT(Normalisasi!$M$44-Konvergensi!$E$194;2);PANGKAT(Normalisasi!$N$44-Konvergensi!$F$194;2);PANGKAT(Normalisasi!$O$44-Konvergensi!$G$194;2);PANGKAT(Normalisasi!$P$44-Konvergensi!$H$194;2)))</f>
        <v/>
      </c>
      <c r="D248">
        <f>AKAR(JUMLAH(PANGKAT(Normalisasi!$J$44-Konvergensi!$B$195;2);PANGKAT(Normalisasi!$K$44-Konvergensi!$C$195;2);PANGKAT(Normalisasi!$L$44-Konvergensi!$D$195;2);PANGKAT(Normalisasi!$M$44-Konvergensi!$E$195;2);PANGKAT(Normalisasi!$N$44-Konvergensi!$F$195;2);PANGKAT(Normalisasi!$O$44-Konvergensi!$G$195;2);PANGKAT(Normalisasi!$P$44-Konvergensi!$H$195;2)))</f>
        <v/>
      </c>
      <c r="E248">
        <f>AKAR(JUMLAH(PANGKAT(Normalisasi!$J$44-Konvergensi!$B$196;2);PANGKAT(Normalisasi!$K$44-Konvergensi!$C$196;2);PANGKAT(Normalisasi!$L$44-Konvergensi!$D$196;2);PANGKAT(Normalisasi!$M$44-Konvergensi!$E$196;2);PANGKAT(Normalisasi!$N$44-Konvergensi!$F$196;2);PANGKAT(Normalisasi!$O$44-Konvergensi!$G$196;2);PANGKAT(Normalisasi!$P$44-Konvergensi!$H$196;2)))</f>
        <v/>
      </c>
      <c r="F248">
        <f>JIKA(C248&lt;=D248;=JIKA(C248&lt;=E248;0;2);=JIKA(D248&lt;=E248;1;2))</f>
        <v/>
      </c>
      <c r="G248">
        <f>JUMLAH(JIKA(F248=0;JUMLAH(PANGKAT(Normalisasi!$J$44-Konvergensi!$B$259;2);PANGKAT(Normalisasi!$K$44-Konvergensi!$C$259;2);PANGKAT(Normalisasi!$L$44-Konvergensi!$D$259;2);PANGKAT(Normalisasi!$M$44-Konvergensi!$E$259;2);PANGKAT(Normalisasi!$N$44-Konvergensi!$F$259;2);PANGKAT(Normalisasi!$O$44-Konvergensi!$G$259;2);PANGKAT(Normalisasi!$P$44-Konvergensi!$H$259;2));0);JIKA(F248=1;JUMLAH(PANGKAT(Normalisasi!$J$44-Konvergensi!$B$260;2);PANGKAT(Normalisasi!$K$44-Konvergensi!$C$260;2);PANGKAT(Normalisasi!$L$44-Konvergensi!$D$260;2);PANGKAT(Normalisasi!$M$44-Konvergensi!$E$260;2);PANGKAT(Normalisasi!$N$44-Konvergensi!$F$260;2);PANGKAT(Normalisasi!$O$44-Konvergensi!$G$260;2);PANGKAT(Normalisasi!$P$44-Konvergensi!$H$260;2));0);JIKA(F248=2;JUMLAH(PANGKAT(Normalisasi!$J$44-Konvergensi!$B$261;2);PANGKAT(Normalisasi!$K$44-Konvergensi!$C$261;2);PANGKAT(Normalisasi!$L$44-Konvergensi!$D$261;2);PANGKAT(Normalisasi!$M$44-Konvergensi!$E$261;2);PANGKAT(Normalisasi!$N$44-Konvergensi!$F$261;2);PANGKAT(Normalisasi!$O$44-Konvergensi!$G$261;2);PANGKAT(Normalisasi!$P$44-Konvergensi!$H$261;2));0))</f>
        <v/>
      </c>
      <c r="H248" t="n">
        <v>2</v>
      </c>
      <c r="I248" t="n">
        <v>2.863115313229202</v>
      </c>
    </row>
    <row r="249">
      <c r="A249">
        <f>Data_Awal!A45</f>
        <v/>
      </c>
      <c r="B249">
        <f>Data_Awal!B45</f>
        <v/>
      </c>
      <c r="C249">
        <f>AKAR(JUMLAH(PANGKAT(Normalisasi!$J$45-Konvergensi!$B$194;2);PANGKAT(Normalisasi!$K$45-Konvergensi!$C$194;2);PANGKAT(Normalisasi!$L$45-Konvergensi!$D$194;2);PANGKAT(Normalisasi!$M$45-Konvergensi!$E$194;2);PANGKAT(Normalisasi!$N$45-Konvergensi!$F$194;2);PANGKAT(Normalisasi!$O$45-Konvergensi!$G$194;2);PANGKAT(Normalisasi!$P$45-Konvergensi!$H$194;2)))</f>
        <v/>
      </c>
      <c r="D249">
        <f>AKAR(JUMLAH(PANGKAT(Normalisasi!$J$45-Konvergensi!$B$195;2);PANGKAT(Normalisasi!$K$45-Konvergensi!$C$195;2);PANGKAT(Normalisasi!$L$45-Konvergensi!$D$195;2);PANGKAT(Normalisasi!$M$45-Konvergensi!$E$195;2);PANGKAT(Normalisasi!$N$45-Konvergensi!$F$195;2);PANGKAT(Normalisasi!$O$45-Konvergensi!$G$195;2);PANGKAT(Normalisasi!$P$45-Konvergensi!$H$195;2)))</f>
        <v/>
      </c>
      <c r="E249">
        <f>AKAR(JUMLAH(PANGKAT(Normalisasi!$J$45-Konvergensi!$B$196;2);PANGKAT(Normalisasi!$K$45-Konvergensi!$C$196;2);PANGKAT(Normalisasi!$L$45-Konvergensi!$D$196;2);PANGKAT(Normalisasi!$M$45-Konvergensi!$E$196;2);PANGKAT(Normalisasi!$N$45-Konvergensi!$F$196;2);PANGKAT(Normalisasi!$O$45-Konvergensi!$G$196;2);PANGKAT(Normalisasi!$P$45-Konvergensi!$H$196;2)))</f>
        <v/>
      </c>
      <c r="F249">
        <f>JIKA(C249&lt;=D249;=JIKA(C249&lt;=E249;0;2);=JIKA(D249&lt;=E249;1;2))</f>
        <v/>
      </c>
      <c r="G249">
        <f>JUMLAH(JIKA(F249=0;JUMLAH(PANGKAT(Normalisasi!$J$45-Konvergensi!$B$259;2);PANGKAT(Normalisasi!$K$45-Konvergensi!$C$259;2);PANGKAT(Normalisasi!$L$45-Konvergensi!$D$259;2);PANGKAT(Normalisasi!$M$45-Konvergensi!$E$259;2);PANGKAT(Normalisasi!$N$45-Konvergensi!$F$259;2);PANGKAT(Normalisasi!$O$45-Konvergensi!$G$259;2);PANGKAT(Normalisasi!$P$45-Konvergensi!$H$259;2));0);JIKA(F249=1;JUMLAH(PANGKAT(Normalisasi!$J$45-Konvergensi!$B$260;2);PANGKAT(Normalisasi!$K$45-Konvergensi!$C$260;2);PANGKAT(Normalisasi!$L$45-Konvergensi!$D$260;2);PANGKAT(Normalisasi!$M$45-Konvergensi!$E$260;2);PANGKAT(Normalisasi!$N$45-Konvergensi!$F$260;2);PANGKAT(Normalisasi!$O$45-Konvergensi!$G$260;2);PANGKAT(Normalisasi!$P$45-Konvergensi!$H$260;2));0);JIKA(F249=2;JUMLAH(PANGKAT(Normalisasi!$J$45-Konvergensi!$B$261;2);PANGKAT(Normalisasi!$K$45-Konvergensi!$C$261;2);PANGKAT(Normalisasi!$L$45-Konvergensi!$D$261;2);PANGKAT(Normalisasi!$M$45-Konvergensi!$E$261;2);PANGKAT(Normalisasi!$N$45-Konvergensi!$F$261;2);PANGKAT(Normalisasi!$O$45-Konvergensi!$G$261;2);PANGKAT(Normalisasi!$P$45-Konvergensi!$H$261;2));0))</f>
        <v/>
      </c>
      <c r="H249" t="n">
        <v>0</v>
      </c>
      <c r="I249" t="n">
        <v>7.590499137352639</v>
      </c>
    </row>
    <row r="250">
      <c r="A250">
        <f>Data_Awal!A46</f>
        <v/>
      </c>
      <c r="B250">
        <f>Data_Awal!B46</f>
        <v/>
      </c>
      <c r="C250">
        <f>AKAR(JUMLAH(PANGKAT(Normalisasi!$J$46-Konvergensi!$B$194;2);PANGKAT(Normalisasi!$K$46-Konvergensi!$C$194;2);PANGKAT(Normalisasi!$L$46-Konvergensi!$D$194;2);PANGKAT(Normalisasi!$M$46-Konvergensi!$E$194;2);PANGKAT(Normalisasi!$N$46-Konvergensi!$F$194;2);PANGKAT(Normalisasi!$O$46-Konvergensi!$G$194;2);PANGKAT(Normalisasi!$P$46-Konvergensi!$H$194;2)))</f>
        <v/>
      </c>
      <c r="D250">
        <f>AKAR(JUMLAH(PANGKAT(Normalisasi!$J$46-Konvergensi!$B$195;2);PANGKAT(Normalisasi!$K$46-Konvergensi!$C$195;2);PANGKAT(Normalisasi!$L$46-Konvergensi!$D$195;2);PANGKAT(Normalisasi!$M$46-Konvergensi!$E$195;2);PANGKAT(Normalisasi!$N$46-Konvergensi!$F$195;2);PANGKAT(Normalisasi!$O$46-Konvergensi!$G$195;2);PANGKAT(Normalisasi!$P$46-Konvergensi!$H$195;2)))</f>
        <v/>
      </c>
      <c r="E250">
        <f>AKAR(JUMLAH(PANGKAT(Normalisasi!$J$46-Konvergensi!$B$196;2);PANGKAT(Normalisasi!$K$46-Konvergensi!$C$196;2);PANGKAT(Normalisasi!$L$46-Konvergensi!$D$196;2);PANGKAT(Normalisasi!$M$46-Konvergensi!$E$196;2);PANGKAT(Normalisasi!$N$46-Konvergensi!$F$196;2);PANGKAT(Normalisasi!$O$46-Konvergensi!$G$196;2);PANGKAT(Normalisasi!$P$46-Konvergensi!$H$196;2)))</f>
        <v/>
      </c>
      <c r="F250">
        <f>JIKA(C250&lt;=D250;=JIKA(C250&lt;=E250;0;2);=JIKA(D250&lt;=E250;1;2))</f>
        <v/>
      </c>
      <c r="G250">
        <f>JUMLAH(JIKA(F250=0;JUMLAH(PANGKAT(Normalisasi!$J$46-Konvergensi!$B$259;2);PANGKAT(Normalisasi!$K$46-Konvergensi!$C$259;2);PANGKAT(Normalisasi!$L$46-Konvergensi!$D$259;2);PANGKAT(Normalisasi!$M$46-Konvergensi!$E$259;2);PANGKAT(Normalisasi!$N$46-Konvergensi!$F$259;2);PANGKAT(Normalisasi!$O$46-Konvergensi!$G$259;2);PANGKAT(Normalisasi!$P$46-Konvergensi!$H$259;2));0);JIKA(F250=1;JUMLAH(PANGKAT(Normalisasi!$J$46-Konvergensi!$B$260;2);PANGKAT(Normalisasi!$K$46-Konvergensi!$C$260;2);PANGKAT(Normalisasi!$L$46-Konvergensi!$D$260;2);PANGKAT(Normalisasi!$M$46-Konvergensi!$E$260;2);PANGKAT(Normalisasi!$N$46-Konvergensi!$F$260;2);PANGKAT(Normalisasi!$O$46-Konvergensi!$G$260;2);PANGKAT(Normalisasi!$P$46-Konvergensi!$H$260;2));0);JIKA(F250=2;JUMLAH(PANGKAT(Normalisasi!$J$46-Konvergensi!$B$261;2);PANGKAT(Normalisasi!$K$46-Konvergensi!$C$261;2);PANGKAT(Normalisasi!$L$46-Konvergensi!$D$261;2);PANGKAT(Normalisasi!$M$46-Konvergensi!$E$261;2);PANGKAT(Normalisasi!$N$46-Konvergensi!$F$261;2);PANGKAT(Normalisasi!$O$46-Konvergensi!$G$261;2);PANGKAT(Normalisasi!$P$46-Konvergensi!$H$261;2));0))</f>
        <v/>
      </c>
      <c r="H250" t="n">
        <v>2</v>
      </c>
      <c r="I250" t="n">
        <v>4.893572145900485</v>
      </c>
    </row>
    <row r="251">
      <c r="A251">
        <f>Data_Awal!A47</f>
        <v/>
      </c>
      <c r="B251">
        <f>Data_Awal!B47</f>
        <v/>
      </c>
      <c r="C251">
        <f>AKAR(JUMLAH(PANGKAT(Normalisasi!$J$47-Konvergensi!$B$194;2);PANGKAT(Normalisasi!$K$47-Konvergensi!$C$194;2);PANGKAT(Normalisasi!$L$47-Konvergensi!$D$194;2);PANGKAT(Normalisasi!$M$47-Konvergensi!$E$194;2);PANGKAT(Normalisasi!$N$47-Konvergensi!$F$194;2);PANGKAT(Normalisasi!$O$47-Konvergensi!$G$194;2);PANGKAT(Normalisasi!$P$47-Konvergensi!$H$194;2)))</f>
        <v/>
      </c>
      <c r="D251">
        <f>AKAR(JUMLAH(PANGKAT(Normalisasi!$J$47-Konvergensi!$B$195;2);PANGKAT(Normalisasi!$K$47-Konvergensi!$C$195;2);PANGKAT(Normalisasi!$L$47-Konvergensi!$D$195;2);PANGKAT(Normalisasi!$M$47-Konvergensi!$E$195;2);PANGKAT(Normalisasi!$N$47-Konvergensi!$F$195;2);PANGKAT(Normalisasi!$O$47-Konvergensi!$G$195;2);PANGKAT(Normalisasi!$P$47-Konvergensi!$H$195;2)))</f>
        <v/>
      </c>
      <c r="E251">
        <f>AKAR(JUMLAH(PANGKAT(Normalisasi!$J$47-Konvergensi!$B$196;2);PANGKAT(Normalisasi!$K$47-Konvergensi!$C$196;2);PANGKAT(Normalisasi!$L$47-Konvergensi!$D$196;2);PANGKAT(Normalisasi!$M$47-Konvergensi!$E$196;2);PANGKAT(Normalisasi!$N$47-Konvergensi!$F$196;2);PANGKAT(Normalisasi!$O$47-Konvergensi!$G$196;2);PANGKAT(Normalisasi!$P$47-Konvergensi!$H$196;2)))</f>
        <v/>
      </c>
      <c r="F251">
        <f>JIKA(C251&lt;=D251;=JIKA(C251&lt;=E251;0;2);=JIKA(D251&lt;=E251;1;2))</f>
        <v/>
      </c>
      <c r="G251">
        <f>JUMLAH(JIKA(F251=0;JUMLAH(PANGKAT(Normalisasi!$J$47-Konvergensi!$B$259;2);PANGKAT(Normalisasi!$K$47-Konvergensi!$C$259;2);PANGKAT(Normalisasi!$L$47-Konvergensi!$D$259;2);PANGKAT(Normalisasi!$M$47-Konvergensi!$E$259;2);PANGKAT(Normalisasi!$N$47-Konvergensi!$F$259;2);PANGKAT(Normalisasi!$O$47-Konvergensi!$G$259;2);PANGKAT(Normalisasi!$P$47-Konvergensi!$H$259;2));0);JIKA(F251=1;JUMLAH(PANGKAT(Normalisasi!$J$47-Konvergensi!$B$260;2);PANGKAT(Normalisasi!$K$47-Konvergensi!$C$260;2);PANGKAT(Normalisasi!$L$47-Konvergensi!$D$260;2);PANGKAT(Normalisasi!$M$47-Konvergensi!$E$260;2);PANGKAT(Normalisasi!$N$47-Konvergensi!$F$260;2);PANGKAT(Normalisasi!$O$47-Konvergensi!$G$260;2);PANGKAT(Normalisasi!$P$47-Konvergensi!$H$260;2));0);JIKA(F251=2;JUMLAH(PANGKAT(Normalisasi!$J$47-Konvergensi!$B$261;2);PANGKAT(Normalisasi!$K$47-Konvergensi!$C$261;2);PANGKAT(Normalisasi!$L$47-Konvergensi!$D$261;2);PANGKAT(Normalisasi!$M$47-Konvergensi!$E$261;2);PANGKAT(Normalisasi!$N$47-Konvergensi!$F$261;2);PANGKAT(Normalisasi!$O$47-Konvergensi!$G$261;2);PANGKAT(Normalisasi!$P$47-Konvergensi!$H$261;2));0))</f>
        <v/>
      </c>
      <c r="H251" t="n">
        <v>2</v>
      </c>
      <c r="I251" t="n">
        <v>1.721240957582471</v>
      </c>
    </row>
    <row r="252">
      <c r="A252">
        <f>Data_Awal!A48</f>
        <v/>
      </c>
      <c r="B252">
        <f>Data_Awal!B48</f>
        <v/>
      </c>
      <c r="C252">
        <f>AKAR(JUMLAH(PANGKAT(Normalisasi!$J$48-Konvergensi!$B$194;2);PANGKAT(Normalisasi!$K$48-Konvergensi!$C$194;2);PANGKAT(Normalisasi!$L$48-Konvergensi!$D$194;2);PANGKAT(Normalisasi!$M$48-Konvergensi!$E$194;2);PANGKAT(Normalisasi!$N$48-Konvergensi!$F$194;2);PANGKAT(Normalisasi!$O$48-Konvergensi!$G$194;2);PANGKAT(Normalisasi!$P$48-Konvergensi!$H$194;2)))</f>
        <v/>
      </c>
      <c r="D252">
        <f>AKAR(JUMLAH(PANGKAT(Normalisasi!$J$48-Konvergensi!$B$195;2);PANGKAT(Normalisasi!$K$48-Konvergensi!$C$195;2);PANGKAT(Normalisasi!$L$48-Konvergensi!$D$195;2);PANGKAT(Normalisasi!$M$48-Konvergensi!$E$195;2);PANGKAT(Normalisasi!$N$48-Konvergensi!$F$195;2);PANGKAT(Normalisasi!$O$48-Konvergensi!$G$195;2);PANGKAT(Normalisasi!$P$48-Konvergensi!$H$195;2)))</f>
        <v/>
      </c>
      <c r="E252">
        <f>AKAR(JUMLAH(PANGKAT(Normalisasi!$J$48-Konvergensi!$B$196;2);PANGKAT(Normalisasi!$K$48-Konvergensi!$C$196;2);PANGKAT(Normalisasi!$L$48-Konvergensi!$D$196;2);PANGKAT(Normalisasi!$M$48-Konvergensi!$E$196;2);PANGKAT(Normalisasi!$N$48-Konvergensi!$F$196;2);PANGKAT(Normalisasi!$O$48-Konvergensi!$G$196;2);PANGKAT(Normalisasi!$P$48-Konvergensi!$H$196;2)))</f>
        <v/>
      </c>
      <c r="F252">
        <f>JIKA(C252&lt;=D252;=JIKA(C252&lt;=E252;0;2);=JIKA(D252&lt;=E252;1;2))</f>
        <v/>
      </c>
      <c r="G252">
        <f>JUMLAH(JIKA(F252=0;JUMLAH(PANGKAT(Normalisasi!$J$48-Konvergensi!$B$259;2);PANGKAT(Normalisasi!$K$48-Konvergensi!$C$259;2);PANGKAT(Normalisasi!$L$48-Konvergensi!$D$259;2);PANGKAT(Normalisasi!$M$48-Konvergensi!$E$259;2);PANGKAT(Normalisasi!$N$48-Konvergensi!$F$259;2);PANGKAT(Normalisasi!$O$48-Konvergensi!$G$259;2);PANGKAT(Normalisasi!$P$48-Konvergensi!$H$259;2));0);JIKA(F252=1;JUMLAH(PANGKAT(Normalisasi!$J$48-Konvergensi!$B$260;2);PANGKAT(Normalisasi!$K$48-Konvergensi!$C$260;2);PANGKAT(Normalisasi!$L$48-Konvergensi!$D$260;2);PANGKAT(Normalisasi!$M$48-Konvergensi!$E$260;2);PANGKAT(Normalisasi!$N$48-Konvergensi!$F$260;2);PANGKAT(Normalisasi!$O$48-Konvergensi!$G$260;2);PANGKAT(Normalisasi!$P$48-Konvergensi!$H$260;2));0);JIKA(F252=2;JUMLAH(PANGKAT(Normalisasi!$J$48-Konvergensi!$B$261;2);PANGKAT(Normalisasi!$K$48-Konvergensi!$C$261;2);PANGKAT(Normalisasi!$L$48-Konvergensi!$D$261;2);PANGKAT(Normalisasi!$M$48-Konvergensi!$E$261;2);PANGKAT(Normalisasi!$N$48-Konvergensi!$F$261;2);PANGKAT(Normalisasi!$O$48-Konvergensi!$G$261;2);PANGKAT(Normalisasi!$P$48-Konvergensi!$H$261;2));0))</f>
        <v/>
      </c>
      <c r="H252" t="n">
        <v>1</v>
      </c>
      <c r="I252" t="n">
        <v>2.515310562387401</v>
      </c>
    </row>
    <row r="253">
      <c r="A253">
        <f>Data_Awal!A49</f>
        <v/>
      </c>
      <c r="B253">
        <f>Data_Awal!B49</f>
        <v/>
      </c>
      <c r="C253">
        <f>AKAR(JUMLAH(PANGKAT(Normalisasi!$J$49-Konvergensi!$B$194;2);PANGKAT(Normalisasi!$K$49-Konvergensi!$C$194;2);PANGKAT(Normalisasi!$L$49-Konvergensi!$D$194;2);PANGKAT(Normalisasi!$M$49-Konvergensi!$E$194;2);PANGKAT(Normalisasi!$N$49-Konvergensi!$F$194;2);PANGKAT(Normalisasi!$O$49-Konvergensi!$G$194;2);PANGKAT(Normalisasi!$P$49-Konvergensi!$H$194;2)))</f>
        <v/>
      </c>
      <c r="D253">
        <f>AKAR(JUMLAH(PANGKAT(Normalisasi!$J$49-Konvergensi!$B$195;2);PANGKAT(Normalisasi!$K$49-Konvergensi!$C$195;2);PANGKAT(Normalisasi!$L$49-Konvergensi!$D$195;2);PANGKAT(Normalisasi!$M$49-Konvergensi!$E$195;2);PANGKAT(Normalisasi!$N$49-Konvergensi!$F$195;2);PANGKAT(Normalisasi!$O$49-Konvergensi!$G$195;2);PANGKAT(Normalisasi!$P$49-Konvergensi!$H$195;2)))</f>
        <v/>
      </c>
      <c r="E253">
        <f>AKAR(JUMLAH(PANGKAT(Normalisasi!$J$49-Konvergensi!$B$196;2);PANGKAT(Normalisasi!$K$49-Konvergensi!$C$196;2);PANGKAT(Normalisasi!$L$49-Konvergensi!$D$196;2);PANGKAT(Normalisasi!$M$49-Konvergensi!$E$196;2);PANGKAT(Normalisasi!$N$49-Konvergensi!$F$196;2);PANGKAT(Normalisasi!$O$49-Konvergensi!$G$196;2);PANGKAT(Normalisasi!$P$49-Konvergensi!$H$196;2)))</f>
        <v/>
      </c>
      <c r="F253">
        <f>JIKA(C253&lt;=D253;=JIKA(C253&lt;=E253;0;2);=JIKA(D253&lt;=E253;1;2))</f>
        <v/>
      </c>
      <c r="G253">
        <f>JUMLAH(JIKA(F253=0;JUMLAH(PANGKAT(Normalisasi!$J$49-Konvergensi!$B$259;2);PANGKAT(Normalisasi!$K$49-Konvergensi!$C$259;2);PANGKAT(Normalisasi!$L$49-Konvergensi!$D$259;2);PANGKAT(Normalisasi!$M$49-Konvergensi!$E$259;2);PANGKAT(Normalisasi!$N$49-Konvergensi!$F$259;2);PANGKAT(Normalisasi!$O$49-Konvergensi!$G$259;2);PANGKAT(Normalisasi!$P$49-Konvergensi!$H$259;2));0);JIKA(F253=1;JUMLAH(PANGKAT(Normalisasi!$J$49-Konvergensi!$B$260;2);PANGKAT(Normalisasi!$K$49-Konvergensi!$C$260;2);PANGKAT(Normalisasi!$L$49-Konvergensi!$D$260;2);PANGKAT(Normalisasi!$M$49-Konvergensi!$E$260;2);PANGKAT(Normalisasi!$N$49-Konvergensi!$F$260;2);PANGKAT(Normalisasi!$O$49-Konvergensi!$G$260;2);PANGKAT(Normalisasi!$P$49-Konvergensi!$H$260;2));0);JIKA(F253=2;JUMLAH(PANGKAT(Normalisasi!$J$49-Konvergensi!$B$261;2);PANGKAT(Normalisasi!$K$49-Konvergensi!$C$261;2);PANGKAT(Normalisasi!$L$49-Konvergensi!$D$261;2);PANGKAT(Normalisasi!$M$49-Konvergensi!$E$261;2);PANGKAT(Normalisasi!$N$49-Konvergensi!$F$261;2);PANGKAT(Normalisasi!$O$49-Konvergensi!$G$261;2);PANGKAT(Normalisasi!$P$49-Konvergensi!$H$261;2));0))</f>
        <v/>
      </c>
      <c r="H253" t="n">
        <v>0</v>
      </c>
      <c r="I253" t="n">
        <v>2.683866444386227</v>
      </c>
    </row>
    <row r="254">
      <c r="A254">
        <f>Data_Awal!A50</f>
        <v/>
      </c>
      <c r="B254">
        <f>Data_Awal!B50</f>
        <v/>
      </c>
      <c r="C254">
        <f>AKAR(JUMLAH(PANGKAT(Normalisasi!$J$50-Konvergensi!$B$194;2);PANGKAT(Normalisasi!$K$50-Konvergensi!$C$194;2);PANGKAT(Normalisasi!$L$50-Konvergensi!$D$194;2);PANGKAT(Normalisasi!$M$50-Konvergensi!$E$194;2);PANGKAT(Normalisasi!$N$50-Konvergensi!$F$194;2);PANGKAT(Normalisasi!$O$50-Konvergensi!$G$194;2);PANGKAT(Normalisasi!$P$50-Konvergensi!$H$194;2)))</f>
        <v/>
      </c>
      <c r="D254">
        <f>AKAR(JUMLAH(PANGKAT(Normalisasi!$J$50-Konvergensi!$B$195;2);PANGKAT(Normalisasi!$K$50-Konvergensi!$C$195;2);PANGKAT(Normalisasi!$L$50-Konvergensi!$D$195;2);PANGKAT(Normalisasi!$M$50-Konvergensi!$E$195;2);PANGKAT(Normalisasi!$N$50-Konvergensi!$F$195;2);PANGKAT(Normalisasi!$O$50-Konvergensi!$G$195;2);PANGKAT(Normalisasi!$P$50-Konvergensi!$H$195;2)))</f>
        <v/>
      </c>
      <c r="E254">
        <f>AKAR(JUMLAH(PANGKAT(Normalisasi!$J$50-Konvergensi!$B$196;2);PANGKAT(Normalisasi!$K$50-Konvergensi!$C$196;2);PANGKAT(Normalisasi!$L$50-Konvergensi!$D$196;2);PANGKAT(Normalisasi!$M$50-Konvergensi!$E$196;2);PANGKAT(Normalisasi!$N$50-Konvergensi!$F$196;2);PANGKAT(Normalisasi!$O$50-Konvergensi!$G$196;2);PANGKAT(Normalisasi!$P$50-Konvergensi!$H$196;2)))</f>
        <v/>
      </c>
      <c r="F254">
        <f>JIKA(C254&lt;=D254;=JIKA(C254&lt;=E254;0;2);=JIKA(D254&lt;=E254;1;2))</f>
        <v/>
      </c>
      <c r="G254">
        <f>JUMLAH(JIKA(F254=0;JUMLAH(PANGKAT(Normalisasi!$J$50-Konvergensi!$B$259;2);PANGKAT(Normalisasi!$K$50-Konvergensi!$C$259;2);PANGKAT(Normalisasi!$L$50-Konvergensi!$D$259;2);PANGKAT(Normalisasi!$M$50-Konvergensi!$E$259;2);PANGKAT(Normalisasi!$N$50-Konvergensi!$F$259;2);PANGKAT(Normalisasi!$O$50-Konvergensi!$G$259;2);PANGKAT(Normalisasi!$P$50-Konvergensi!$H$259;2));0);JIKA(F254=1;JUMLAH(PANGKAT(Normalisasi!$J$50-Konvergensi!$B$260;2);PANGKAT(Normalisasi!$K$50-Konvergensi!$C$260;2);PANGKAT(Normalisasi!$L$50-Konvergensi!$D$260;2);PANGKAT(Normalisasi!$M$50-Konvergensi!$E$260;2);PANGKAT(Normalisasi!$N$50-Konvergensi!$F$260;2);PANGKAT(Normalisasi!$O$50-Konvergensi!$G$260;2);PANGKAT(Normalisasi!$P$50-Konvergensi!$H$260;2));0);JIKA(F254=2;JUMLAH(PANGKAT(Normalisasi!$J$50-Konvergensi!$B$261;2);PANGKAT(Normalisasi!$K$50-Konvergensi!$C$261;2);PANGKAT(Normalisasi!$L$50-Konvergensi!$D$261;2);PANGKAT(Normalisasi!$M$50-Konvergensi!$E$261;2);PANGKAT(Normalisasi!$N$50-Konvergensi!$F$261;2);PANGKAT(Normalisasi!$O$50-Konvergensi!$G$261;2);PANGKAT(Normalisasi!$P$50-Konvergensi!$H$261;2));0))</f>
        <v/>
      </c>
      <c r="H254" t="n">
        <v>0</v>
      </c>
      <c r="I254" t="n">
        <v>4.01275967696999</v>
      </c>
    </row>
    <row r="255">
      <c r="A255">
        <f>Data_Awal!A51</f>
        <v/>
      </c>
      <c r="B255">
        <f>Data_Awal!B51</f>
        <v/>
      </c>
      <c r="C255">
        <f>AKAR(JUMLAH(PANGKAT(Normalisasi!$J$51-Konvergensi!$B$194;2);PANGKAT(Normalisasi!$K$51-Konvergensi!$C$194;2);PANGKAT(Normalisasi!$L$51-Konvergensi!$D$194;2);PANGKAT(Normalisasi!$M$51-Konvergensi!$E$194;2);PANGKAT(Normalisasi!$N$51-Konvergensi!$F$194;2);PANGKAT(Normalisasi!$O$51-Konvergensi!$G$194;2);PANGKAT(Normalisasi!$P$51-Konvergensi!$H$194;2)))</f>
        <v/>
      </c>
      <c r="D255">
        <f>AKAR(JUMLAH(PANGKAT(Normalisasi!$J$51-Konvergensi!$B$195;2);PANGKAT(Normalisasi!$K$51-Konvergensi!$C$195;2);PANGKAT(Normalisasi!$L$51-Konvergensi!$D$195;2);PANGKAT(Normalisasi!$M$51-Konvergensi!$E$195;2);PANGKAT(Normalisasi!$N$51-Konvergensi!$F$195;2);PANGKAT(Normalisasi!$O$51-Konvergensi!$G$195;2);PANGKAT(Normalisasi!$P$51-Konvergensi!$H$195;2)))</f>
        <v/>
      </c>
      <c r="E255">
        <f>AKAR(JUMLAH(PANGKAT(Normalisasi!$J$51-Konvergensi!$B$196;2);PANGKAT(Normalisasi!$K$51-Konvergensi!$C$196;2);PANGKAT(Normalisasi!$L$51-Konvergensi!$D$196;2);PANGKAT(Normalisasi!$M$51-Konvergensi!$E$196;2);PANGKAT(Normalisasi!$N$51-Konvergensi!$F$196;2);PANGKAT(Normalisasi!$O$51-Konvergensi!$G$196;2);PANGKAT(Normalisasi!$P$51-Konvergensi!$H$196;2)))</f>
        <v/>
      </c>
      <c r="F255">
        <f>JIKA(C255&lt;=D255;=JIKA(C255&lt;=E255;0;2);=JIKA(D255&lt;=E255;1;2))</f>
        <v/>
      </c>
      <c r="G255">
        <f>JUMLAH(JIKA(F255=0;JUMLAH(PANGKAT(Normalisasi!$J$51-Konvergensi!$B$259;2);PANGKAT(Normalisasi!$K$51-Konvergensi!$C$259;2);PANGKAT(Normalisasi!$L$51-Konvergensi!$D$259;2);PANGKAT(Normalisasi!$M$51-Konvergensi!$E$259;2);PANGKAT(Normalisasi!$N$51-Konvergensi!$F$259;2);PANGKAT(Normalisasi!$O$51-Konvergensi!$G$259;2);PANGKAT(Normalisasi!$P$51-Konvergensi!$H$259;2));0);JIKA(F255=1;JUMLAH(PANGKAT(Normalisasi!$J$51-Konvergensi!$B$260;2);PANGKAT(Normalisasi!$K$51-Konvergensi!$C$260;2);PANGKAT(Normalisasi!$L$51-Konvergensi!$D$260;2);PANGKAT(Normalisasi!$M$51-Konvergensi!$E$260;2);PANGKAT(Normalisasi!$N$51-Konvergensi!$F$260;2);PANGKAT(Normalisasi!$O$51-Konvergensi!$G$260;2);PANGKAT(Normalisasi!$P$51-Konvergensi!$H$260;2));0);JIKA(F255=2;JUMLAH(PANGKAT(Normalisasi!$J$51-Konvergensi!$B$261;2);PANGKAT(Normalisasi!$K$51-Konvergensi!$C$261;2);PANGKAT(Normalisasi!$L$51-Konvergensi!$D$261;2);PANGKAT(Normalisasi!$M$51-Konvergensi!$E$261;2);PANGKAT(Normalisasi!$N$51-Konvergensi!$F$261;2);PANGKAT(Normalisasi!$O$51-Konvergensi!$G$261;2);PANGKAT(Normalisasi!$P$51-Konvergensi!$H$261;2));0))</f>
        <v/>
      </c>
      <c r="H255" t="n">
        <v>0</v>
      </c>
      <c r="I255" t="n">
        <v>5.101000243179358</v>
      </c>
    </row>
    <row r="257">
      <c r="A257" s="4" t="inlineStr">
        <is>
          <t>Centroid baru setelah iter 4</t>
        </is>
      </c>
    </row>
    <row r="258">
      <c r="A258" t="inlineStr">
        <is>
          <t>Cluster</t>
        </is>
      </c>
      <c r="B258" s="1" t="inlineStr">
        <is>
          <t>Z Latitude</t>
        </is>
      </c>
      <c r="C258" s="1" t="inlineStr">
        <is>
          <t>Z Longitude</t>
        </is>
      </c>
      <c r="D258" s="1" t="inlineStr">
        <is>
          <t>Z Semantic Score</t>
        </is>
      </c>
      <c r="E258" s="1" t="inlineStr">
        <is>
          <t>Z Jarak Hotel (m)</t>
        </is>
      </c>
      <c r="F258" s="1" t="inlineStr">
        <is>
          <t>Z Jarak Halte (m)</t>
        </is>
      </c>
      <c r="G258" s="1" t="inlineStr">
        <is>
          <t>Z Restoran 500m</t>
        </is>
      </c>
      <c r="H258" s="1" t="inlineStr">
        <is>
          <t>Z Minimarket 500m</t>
        </is>
      </c>
    </row>
    <row r="259">
      <c r="A259" t="inlineStr">
        <is>
          <t>C0</t>
        </is>
      </c>
      <c r="B259">
        <f>RATA.RATA.JIKA($F$206:$F$255;0;Normalisasi!$J$2:$J$51)</f>
        <v/>
      </c>
      <c r="C259">
        <f>RATA.RATA.JIKA($F$206:$F$255;0;Normalisasi!$K$2:$K$51)</f>
        <v/>
      </c>
      <c r="D259">
        <f>RATA.RATA.JIKA($F$206:$F$255;0;Normalisasi!$L$2:$L$51)</f>
        <v/>
      </c>
      <c r="E259">
        <f>RATA.RATA.JIKA($F$206:$F$255;0;Normalisasi!$M$2:$M$51)</f>
        <v/>
      </c>
      <c r="F259">
        <f>RATA.RATA.JIKA($F$206:$F$255;0;Normalisasi!$N$2:$N$51)</f>
        <v/>
      </c>
      <c r="G259">
        <f>RATA.RATA.JIKA($F$206:$F$255;0;Normalisasi!$O$2:$O$51)</f>
        <v/>
      </c>
      <c r="H259">
        <f>RATA.RATA.JIKA($F$206:$F$255;0;Normalisasi!$P$2:$P$51)</f>
        <v/>
      </c>
      <c r="J259" t="n">
        <v>-0.2232891007777968</v>
      </c>
      <c r="K259" t="n">
        <v>-0.1016951271543641</v>
      </c>
      <c r="L259" t="n">
        <v>-0.1132725797118206</v>
      </c>
      <c r="M259" t="n">
        <v>-0.4932856513533903</v>
      </c>
      <c r="N259" t="n">
        <v>-0.4617465931254623</v>
      </c>
      <c r="O259" t="n">
        <v>-0.3949604383058665</v>
      </c>
      <c r="P259" t="n">
        <v>0.1676092616011136</v>
      </c>
    </row>
    <row r="260">
      <c r="A260" t="inlineStr">
        <is>
          <t>C1</t>
        </is>
      </c>
      <c r="B260">
        <f>RATA.RATA.JIKA($F$206:$F$255;1;Normalisasi!$J$2:$J$51)</f>
        <v/>
      </c>
      <c r="C260">
        <f>RATA.RATA.JIKA($F$206:$F$255;1;Normalisasi!$K$2:$K$51)</f>
        <v/>
      </c>
      <c r="D260">
        <f>RATA.RATA.JIKA($F$206:$F$255;1;Normalisasi!$L$2:$L$51)</f>
        <v/>
      </c>
      <c r="E260">
        <f>RATA.RATA.JIKA($F$206:$F$255;1;Normalisasi!$M$2:$M$51)</f>
        <v/>
      </c>
      <c r="F260">
        <f>RATA.RATA.JIKA($F$206:$F$255;1;Normalisasi!$N$2:$N$51)</f>
        <v/>
      </c>
      <c r="G260">
        <f>RATA.RATA.JIKA($F$206:$F$255;1;Normalisasi!$O$2:$O$51)</f>
        <v/>
      </c>
      <c r="H260">
        <f>RATA.RATA.JIKA($F$206:$F$255;1;Normalisasi!$P$2:$P$51)</f>
        <v/>
      </c>
      <c r="J260" t="n">
        <v>-0.1657279022145444</v>
      </c>
      <c r="K260" t="n">
        <v>0.1758635709175079</v>
      </c>
      <c r="L260" t="n">
        <v>0.2854088392484354</v>
      </c>
      <c r="M260" t="n">
        <v>0.5638900772964751</v>
      </c>
      <c r="N260" t="n">
        <v>1.046607242724782</v>
      </c>
      <c r="O260" t="n">
        <v>0.2611416055903919</v>
      </c>
      <c r="P260" t="n">
        <v>-0.8598521435832207</v>
      </c>
    </row>
    <row r="261">
      <c r="A261" t="inlineStr">
        <is>
          <t>C2</t>
        </is>
      </c>
      <c r="B261">
        <f>RATA.RATA.JIKA($F$206:$F$255;2;Normalisasi!$J$2:$J$51)</f>
        <v/>
      </c>
      <c r="C261">
        <f>RATA.RATA.JIKA($F$206:$F$255;2;Normalisasi!$K$2:$K$51)</f>
        <v/>
      </c>
      <c r="D261">
        <f>RATA.RATA.JIKA($F$206:$F$255;2;Normalisasi!$L$2:$L$51)</f>
        <v/>
      </c>
      <c r="E261">
        <f>RATA.RATA.JIKA($F$206:$F$255;2;Normalisasi!$M$2:$M$51)</f>
        <v/>
      </c>
      <c r="F261">
        <f>RATA.RATA.JIKA($F$206:$F$255;2;Normalisasi!$N$2:$N$51)</f>
        <v/>
      </c>
      <c r="G261">
        <f>RATA.RATA.JIKA($F$206:$F$255;2;Normalisasi!$O$2:$O$51)</f>
        <v/>
      </c>
      <c r="H261">
        <f>RATA.RATA.JIKA($F$206:$F$255;2;Normalisasi!$P$2:$P$51)</f>
        <v/>
      </c>
      <c r="J261" t="n">
        <v>1.064340531777397</v>
      </c>
      <c r="K261" t="n">
        <v>0.01347685867630843</v>
      </c>
      <c r="L261" t="n">
        <v>-0.1528466170634259</v>
      </c>
      <c r="M261" t="n">
        <v>0.6075451783868013</v>
      </c>
      <c r="N261" t="n">
        <v>-0.4039938283105329</v>
      </c>
      <c r="O261" t="n">
        <v>0.8433509688003142</v>
      </c>
      <c r="P261" t="n">
        <v>1.046541511314781</v>
      </c>
    </row>
    <row r="263">
      <c r="A263" t="inlineStr">
        <is>
          <t>Total WCSS (Excel)</t>
        </is>
      </c>
      <c r="B263">
        <f>JUMLAH($G$206:$G$255)</f>
        <v/>
      </c>
    </row>
    <row r="264">
      <c r="A264" t="inlineStr">
        <is>
          <t>Total WCSS (Python)</t>
        </is>
      </c>
      <c r="B264" t="n">
        <v>267.3585548232338</v>
      </c>
    </row>
    <row r="265">
      <c r="A265" t="inlineStr">
        <is>
          <t>Selisih WCSS</t>
        </is>
      </c>
      <c r="B265">
        <f>ABS(B263-B264)</f>
        <v/>
      </c>
    </row>
    <row r="266">
      <c r="A266" t="inlineStr">
        <is>
          <t>Label berubah?</t>
        </is>
      </c>
      <c r="B266">
        <f>JIKA(JUMLAH(JIKA($F$206:$F$255&lt;&gt;$F$206:$F$255;1;0))=0;"Tidak";"Ya")</f>
        <v/>
      </c>
    </row>
    <row r="267">
      <c r="A267" t="inlineStr">
        <is>
          <t>Max shift centroid</t>
        </is>
      </c>
      <c r="B267" t="n">
        <v>0.1513813944986947</v>
      </c>
    </row>
    <row r="269">
      <c r="A269" s="4" t="inlineStr">
        <is>
          <t>ITER 5 — Assignment &amp; Centroid Baru</t>
        </is>
      </c>
    </row>
    <row r="270">
      <c r="A270" s="1" t="inlineStr">
        <is>
          <t>POI ID</t>
        </is>
      </c>
      <c r="B270" s="1" t="inlineStr">
        <is>
          <t>Nama</t>
        </is>
      </c>
      <c r="C270" s="1" t="inlineStr">
        <is>
          <t>d(C0)</t>
        </is>
      </c>
      <c r="D270" s="1" t="inlineStr">
        <is>
          <t>d(C1)</t>
        </is>
      </c>
      <c r="E270" s="1" t="inlineStr">
        <is>
          <t>d(C2)</t>
        </is>
      </c>
      <c r="F270" s="1" t="inlineStr">
        <is>
          <t>Cluster</t>
        </is>
      </c>
      <c r="G270" s="1" t="inlineStr">
        <is>
          <t>WCSS POI</t>
        </is>
      </c>
      <c r="H270" s="1" t="inlineStr">
        <is>
          <t>Py Cluster</t>
        </is>
      </c>
      <c r="I270" s="1" t="inlineStr">
        <is>
          <t>Py WCSS</t>
        </is>
      </c>
    </row>
    <row r="271">
      <c r="A271">
        <f>Data_Awal!A2</f>
        <v/>
      </c>
      <c r="B271">
        <f>Data_Awal!B2</f>
        <v/>
      </c>
      <c r="C271">
        <f>AKAR(JUMLAH(PANGKAT(Normalisasi!$J$2-Konvergensi!$B$259;2);PANGKAT(Normalisasi!$K$2-Konvergensi!$C$259;2);PANGKAT(Normalisasi!$L$2-Konvergensi!$D$259;2);PANGKAT(Normalisasi!$M$2-Konvergensi!$E$259;2);PANGKAT(Normalisasi!$N$2-Konvergensi!$F$259;2);PANGKAT(Normalisasi!$O$2-Konvergensi!$G$259;2);PANGKAT(Normalisasi!$P$2-Konvergensi!$H$259;2)))</f>
        <v/>
      </c>
      <c r="D271">
        <f>AKAR(JUMLAH(PANGKAT(Normalisasi!$J$2-Konvergensi!$B$260;2);PANGKAT(Normalisasi!$K$2-Konvergensi!$C$260;2);PANGKAT(Normalisasi!$L$2-Konvergensi!$D$260;2);PANGKAT(Normalisasi!$M$2-Konvergensi!$E$260;2);PANGKAT(Normalisasi!$N$2-Konvergensi!$F$260;2);PANGKAT(Normalisasi!$O$2-Konvergensi!$G$260;2);PANGKAT(Normalisasi!$P$2-Konvergensi!$H$260;2)))</f>
        <v/>
      </c>
      <c r="E271">
        <f>AKAR(JUMLAH(PANGKAT(Normalisasi!$J$2-Konvergensi!$B$261;2);PANGKAT(Normalisasi!$K$2-Konvergensi!$C$261;2);PANGKAT(Normalisasi!$L$2-Konvergensi!$D$261;2);PANGKAT(Normalisasi!$M$2-Konvergensi!$E$261;2);PANGKAT(Normalisasi!$N$2-Konvergensi!$F$261;2);PANGKAT(Normalisasi!$O$2-Konvergensi!$G$261;2);PANGKAT(Normalisasi!$P$2-Konvergensi!$H$261;2)))</f>
        <v/>
      </c>
      <c r="F271">
        <f>JIKA(C271&lt;=D271;=JIKA(C271&lt;=E271;0;2);=JIKA(D271&lt;=E271;1;2))</f>
        <v/>
      </c>
      <c r="G271">
        <f>JUMLAH(JIKA(F271=0;JUMLAH(PANGKAT(Normalisasi!$J$2-Konvergensi!$B$324;2);PANGKAT(Normalisasi!$K$2-Konvergensi!$C$324;2);PANGKAT(Normalisasi!$L$2-Konvergensi!$D$324;2);PANGKAT(Normalisasi!$M$2-Konvergensi!$E$324;2);PANGKAT(Normalisasi!$N$2-Konvergensi!$F$324;2);PANGKAT(Normalisasi!$O$2-Konvergensi!$G$324;2);PANGKAT(Normalisasi!$P$2-Konvergensi!$H$324;2));0);JIKA(F271=1;JUMLAH(PANGKAT(Normalisasi!$J$2-Konvergensi!$B$325;2);PANGKAT(Normalisasi!$K$2-Konvergensi!$C$325;2);PANGKAT(Normalisasi!$L$2-Konvergensi!$D$325;2);PANGKAT(Normalisasi!$M$2-Konvergensi!$E$325;2);PANGKAT(Normalisasi!$N$2-Konvergensi!$F$325;2);PANGKAT(Normalisasi!$O$2-Konvergensi!$G$325;2);PANGKAT(Normalisasi!$P$2-Konvergensi!$H$325;2));0);JIKA(F271=2;JUMLAH(PANGKAT(Normalisasi!$J$2-Konvergensi!$B$326;2);PANGKAT(Normalisasi!$K$2-Konvergensi!$C$326;2);PANGKAT(Normalisasi!$L$2-Konvergensi!$D$326;2);PANGKAT(Normalisasi!$M$2-Konvergensi!$E$326;2);PANGKAT(Normalisasi!$N$2-Konvergensi!$F$326;2);PANGKAT(Normalisasi!$O$2-Konvergensi!$G$326;2);PANGKAT(Normalisasi!$P$2-Konvergensi!$H$326;2));0))</f>
        <v/>
      </c>
      <c r="H271" t="n">
        <v>0</v>
      </c>
      <c r="I271" t="n">
        <v>7.148712915972527</v>
      </c>
    </row>
    <row r="272">
      <c r="A272">
        <f>Data_Awal!A3</f>
        <v/>
      </c>
      <c r="B272">
        <f>Data_Awal!B3</f>
        <v/>
      </c>
      <c r="C272">
        <f>AKAR(JUMLAH(PANGKAT(Normalisasi!$J$3-Konvergensi!$B$259;2);PANGKAT(Normalisasi!$K$3-Konvergensi!$C$259;2);PANGKAT(Normalisasi!$L$3-Konvergensi!$D$259;2);PANGKAT(Normalisasi!$M$3-Konvergensi!$E$259;2);PANGKAT(Normalisasi!$N$3-Konvergensi!$F$259;2);PANGKAT(Normalisasi!$O$3-Konvergensi!$G$259;2);PANGKAT(Normalisasi!$P$3-Konvergensi!$H$259;2)))</f>
        <v/>
      </c>
      <c r="D272">
        <f>AKAR(JUMLAH(PANGKAT(Normalisasi!$J$3-Konvergensi!$B$260;2);PANGKAT(Normalisasi!$K$3-Konvergensi!$C$260;2);PANGKAT(Normalisasi!$L$3-Konvergensi!$D$260;2);PANGKAT(Normalisasi!$M$3-Konvergensi!$E$260;2);PANGKAT(Normalisasi!$N$3-Konvergensi!$F$260;2);PANGKAT(Normalisasi!$O$3-Konvergensi!$G$260;2);PANGKAT(Normalisasi!$P$3-Konvergensi!$H$260;2)))</f>
        <v/>
      </c>
      <c r="E272">
        <f>AKAR(JUMLAH(PANGKAT(Normalisasi!$J$3-Konvergensi!$B$261;2);PANGKAT(Normalisasi!$K$3-Konvergensi!$C$261;2);PANGKAT(Normalisasi!$L$3-Konvergensi!$D$261;2);PANGKAT(Normalisasi!$M$3-Konvergensi!$E$261;2);PANGKAT(Normalisasi!$N$3-Konvergensi!$F$261;2);PANGKAT(Normalisasi!$O$3-Konvergensi!$G$261;2);PANGKAT(Normalisasi!$P$3-Konvergensi!$H$261;2)))</f>
        <v/>
      </c>
      <c r="F272">
        <f>JIKA(C272&lt;=D272;=JIKA(C272&lt;=E272;0;2);=JIKA(D272&lt;=E272;1;2))</f>
        <v/>
      </c>
      <c r="G272">
        <f>JUMLAH(JIKA(F272=0;JUMLAH(PANGKAT(Normalisasi!$J$3-Konvergensi!$B$324;2);PANGKAT(Normalisasi!$K$3-Konvergensi!$C$324;2);PANGKAT(Normalisasi!$L$3-Konvergensi!$D$324;2);PANGKAT(Normalisasi!$M$3-Konvergensi!$E$324;2);PANGKAT(Normalisasi!$N$3-Konvergensi!$F$324;2);PANGKAT(Normalisasi!$O$3-Konvergensi!$G$324;2);PANGKAT(Normalisasi!$P$3-Konvergensi!$H$324;2));0);JIKA(F272=1;JUMLAH(PANGKAT(Normalisasi!$J$3-Konvergensi!$B$325;2);PANGKAT(Normalisasi!$K$3-Konvergensi!$C$325;2);PANGKAT(Normalisasi!$L$3-Konvergensi!$D$325;2);PANGKAT(Normalisasi!$M$3-Konvergensi!$E$325;2);PANGKAT(Normalisasi!$N$3-Konvergensi!$F$325;2);PANGKAT(Normalisasi!$O$3-Konvergensi!$G$325;2);PANGKAT(Normalisasi!$P$3-Konvergensi!$H$325;2));0);JIKA(F272=2;JUMLAH(PANGKAT(Normalisasi!$J$3-Konvergensi!$B$326;2);PANGKAT(Normalisasi!$K$3-Konvergensi!$C$326;2);PANGKAT(Normalisasi!$L$3-Konvergensi!$D$326;2);PANGKAT(Normalisasi!$M$3-Konvergensi!$E$326;2);PANGKAT(Normalisasi!$N$3-Konvergensi!$F$326;2);PANGKAT(Normalisasi!$O$3-Konvergensi!$G$326;2);PANGKAT(Normalisasi!$P$3-Konvergensi!$H$326;2));0))</f>
        <v/>
      </c>
      <c r="H272" t="n">
        <v>1</v>
      </c>
      <c r="I272" t="n">
        <v>6.23025285156297</v>
      </c>
    </row>
    <row r="273">
      <c r="A273">
        <f>Data_Awal!A4</f>
        <v/>
      </c>
      <c r="B273">
        <f>Data_Awal!B4</f>
        <v/>
      </c>
      <c r="C273">
        <f>AKAR(JUMLAH(PANGKAT(Normalisasi!$J$4-Konvergensi!$B$259;2);PANGKAT(Normalisasi!$K$4-Konvergensi!$C$259;2);PANGKAT(Normalisasi!$L$4-Konvergensi!$D$259;2);PANGKAT(Normalisasi!$M$4-Konvergensi!$E$259;2);PANGKAT(Normalisasi!$N$4-Konvergensi!$F$259;2);PANGKAT(Normalisasi!$O$4-Konvergensi!$G$259;2);PANGKAT(Normalisasi!$P$4-Konvergensi!$H$259;2)))</f>
        <v/>
      </c>
      <c r="D273">
        <f>AKAR(JUMLAH(PANGKAT(Normalisasi!$J$4-Konvergensi!$B$260;2);PANGKAT(Normalisasi!$K$4-Konvergensi!$C$260;2);PANGKAT(Normalisasi!$L$4-Konvergensi!$D$260;2);PANGKAT(Normalisasi!$M$4-Konvergensi!$E$260;2);PANGKAT(Normalisasi!$N$4-Konvergensi!$F$260;2);PANGKAT(Normalisasi!$O$4-Konvergensi!$G$260;2);PANGKAT(Normalisasi!$P$4-Konvergensi!$H$260;2)))</f>
        <v/>
      </c>
      <c r="E273">
        <f>AKAR(JUMLAH(PANGKAT(Normalisasi!$J$4-Konvergensi!$B$261;2);PANGKAT(Normalisasi!$K$4-Konvergensi!$C$261;2);PANGKAT(Normalisasi!$L$4-Konvergensi!$D$261;2);PANGKAT(Normalisasi!$M$4-Konvergensi!$E$261;2);PANGKAT(Normalisasi!$N$4-Konvergensi!$F$261;2);PANGKAT(Normalisasi!$O$4-Konvergensi!$G$261;2);PANGKAT(Normalisasi!$P$4-Konvergensi!$H$261;2)))</f>
        <v/>
      </c>
      <c r="F273">
        <f>JIKA(C273&lt;=D273;=JIKA(C273&lt;=E273;0;2);=JIKA(D273&lt;=E273;1;2))</f>
        <v/>
      </c>
      <c r="G273">
        <f>JUMLAH(JIKA(F273=0;JUMLAH(PANGKAT(Normalisasi!$J$4-Konvergensi!$B$324;2);PANGKAT(Normalisasi!$K$4-Konvergensi!$C$324;2);PANGKAT(Normalisasi!$L$4-Konvergensi!$D$324;2);PANGKAT(Normalisasi!$M$4-Konvergensi!$E$324;2);PANGKAT(Normalisasi!$N$4-Konvergensi!$F$324;2);PANGKAT(Normalisasi!$O$4-Konvergensi!$G$324;2);PANGKAT(Normalisasi!$P$4-Konvergensi!$H$324;2));0);JIKA(F273=1;JUMLAH(PANGKAT(Normalisasi!$J$4-Konvergensi!$B$325;2);PANGKAT(Normalisasi!$K$4-Konvergensi!$C$325;2);PANGKAT(Normalisasi!$L$4-Konvergensi!$D$325;2);PANGKAT(Normalisasi!$M$4-Konvergensi!$E$325;2);PANGKAT(Normalisasi!$N$4-Konvergensi!$F$325;2);PANGKAT(Normalisasi!$O$4-Konvergensi!$G$325;2);PANGKAT(Normalisasi!$P$4-Konvergensi!$H$325;2));0);JIKA(F273=2;JUMLAH(PANGKAT(Normalisasi!$J$4-Konvergensi!$B$326;2);PANGKAT(Normalisasi!$K$4-Konvergensi!$C$326;2);PANGKAT(Normalisasi!$L$4-Konvergensi!$D$326;2);PANGKAT(Normalisasi!$M$4-Konvergensi!$E$326;2);PANGKAT(Normalisasi!$N$4-Konvergensi!$F$326;2);PANGKAT(Normalisasi!$O$4-Konvergensi!$G$326;2);PANGKAT(Normalisasi!$P$4-Konvergensi!$H$326;2));0))</f>
        <v/>
      </c>
      <c r="H273" t="n">
        <v>1</v>
      </c>
      <c r="I273" t="n">
        <v>5.699312262706178</v>
      </c>
    </row>
    <row r="274">
      <c r="A274">
        <f>Data_Awal!A5</f>
        <v/>
      </c>
      <c r="B274">
        <f>Data_Awal!B5</f>
        <v/>
      </c>
      <c r="C274">
        <f>AKAR(JUMLAH(PANGKAT(Normalisasi!$J$5-Konvergensi!$B$259;2);PANGKAT(Normalisasi!$K$5-Konvergensi!$C$259;2);PANGKAT(Normalisasi!$L$5-Konvergensi!$D$259;2);PANGKAT(Normalisasi!$M$5-Konvergensi!$E$259;2);PANGKAT(Normalisasi!$N$5-Konvergensi!$F$259;2);PANGKAT(Normalisasi!$O$5-Konvergensi!$G$259;2);PANGKAT(Normalisasi!$P$5-Konvergensi!$H$259;2)))</f>
        <v/>
      </c>
      <c r="D274">
        <f>AKAR(JUMLAH(PANGKAT(Normalisasi!$J$5-Konvergensi!$B$260;2);PANGKAT(Normalisasi!$K$5-Konvergensi!$C$260;2);PANGKAT(Normalisasi!$L$5-Konvergensi!$D$260;2);PANGKAT(Normalisasi!$M$5-Konvergensi!$E$260;2);PANGKAT(Normalisasi!$N$5-Konvergensi!$F$260;2);PANGKAT(Normalisasi!$O$5-Konvergensi!$G$260;2);PANGKAT(Normalisasi!$P$5-Konvergensi!$H$260;2)))</f>
        <v/>
      </c>
      <c r="E274">
        <f>AKAR(JUMLAH(PANGKAT(Normalisasi!$J$5-Konvergensi!$B$261;2);PANGKAT(Normalisasi!$K$5-Konvergensi!$C$261;2);PANGKAT(Normalisasi!$L$5-Konvergensi!$D$261;2);PANGKAT(Normalisasi!$M$5-Konvergensi!$E$261;2);PANGKAT(Normalisasi!$N$5-Konvergensi!$F$261;2);PANGKAT(Normalisasi!$O$5-Konvergensi!$G$261;2);PANGKAT(Normalisasi!$P$5-Konvergensi!$H$261;2)))</f>
        <v/>
      </c>
      <c r="F274">
        <f>JIKA(C274&lt;=D274;=JIKA(C274&lt;=E274;0;2);=JIKA(D274&lt;=E274;1;2))</f>
        <v/>
      </c>
      <c r="G274">
        <f>JUMLAH(JIKA(F274=0;JUMLAH(PANGKAT(Normalisasi!$J$5-Konvergensi!$B$324;2);PANGKAT(Normalisasi!$K$5-Konvergensi!$C$324;2);PANGKAT(Normalisasi!$L$5-Konvergensi!$D$324;2);PANGKAT(Normalisasi!$M$5-Konvergensi!$E$324;2);PANGKAT(Normalisasi!$N$5-Konvergensi!$F$324;2);PANGKAT(Normalisasi!$O$5-Konvergensi!$G$324;2);PANGKAT(Normalisasi!$P$5-Konvergensi!$H$324;2));0);JIKA(F274=1;JUMLAH(PANGKAT(Normalisasi!$J$5-Konvergensi!$B$325;2);PANGKAT(Normalisasi!$K$5-Konvergensi!$C$325;2);PANGKAT(Normalisasi!$L$5-Konvergensi!$D$325;2);PANGKAT(Normalisasi!$M$5-Konvergensi!$E$325;2);PANGKAT(Normalisasi!$N$5-Konvergensi!$F$325;2);PANGKAT(Normalisasi!$O$5-Konvergensi!$G$325;2);PANGKAT(Normalisasi!$P$5-Konvergensi!$H$325;2));0);JIKA(F274=2;JUMLAH(PANGKAT(Normalisasi!$J$5-Konvergensi!$B$326;2);PANGKAT(Normalisasi!$K$5-Konvergensi!$C$326;2);PANGKAT(Normalisasi!$L$5-Konvergensi!$D$326;2);PANGKAT(Normalisasi!$M$5-Konvergensi!$E$326;2);PANGKAT(Normalisasi!$N$5-Konvergensi!$F$326;2);PANGKAT(Normalisasi!$O$5-Konvergensi!$G$326;2);PANGKAT(Normalisasi!$P$5-Konvergensi!$H$326;2));0))</f>
        <v/>
      </c>
      <c r="H274" t="n">
        <v>0</v>
      </c>
      <c r="I274" t="n">
        <v>6.747963559113375</v>
      </c>
    </row>
    <row r="275">
      <c r="A275">
        <f>Data_Awal!A6</f>
        <v/>
      </c>
      <c r="B275">
        <f>Data_Awal!B6</f>
        <v/>
      </c>
      <c r="C275">
        <f>AKAR(JUMLAH(PANGKAT(Normalisasi!$J$6-Konvergensi!$B$259;2);PANGKAT(Normalisasi!$K$6-Konvergensi!$C$259;2);PANGKAT(Normalisasi!$L$6-Konvergensi!$D$259;2);PANGKAT(Normalisasi!$M$6-Konvergensi!$E$259;2);PANGKAT(Normalisasi!$N$6-Konvergensi!$F$259;2);PANGKAT(Normalisasi!$O$6-Konvergensi!$G$259;2);PANGKAT(Normalisasi!$P$6-Konvergensi!$H$259;2)))</f>
        <v/>
      </c>
      <c r="D275">
        <f>AKAR(JUMLAH(PANGKAT(Normalisasi!$J$6-Konvergensi!$B$260;2);PANGKAT(Normalisasi!$K$6-Konvergensi!$C$260;2);PANGKAT(Normalisasi!$L$6-Konvergensi!$D$260;2);PANGKAT(Normalisasi!$M$6-Konvergensi!$E$260;2);PANGKAT(Normalisasi!$N$6-Konvergensi!$F$260;2);PANGKAT(Normalisasi!$O$6-Konvergensi!$G$260;2);PANGKAT(Normalisasi!$P$6-Konvergensi!$H$260;2)))</f>
        <v/>
      </c>
      <c r="E275">
        <f>AKAR(JUMLAH(PANGKAT(Normalisasi!$J$6-Konvergensi!$B$261;2);PANGKAT(Normalisasi!$K$6-Konvergensi!$C$261;2);PANGKAT(Normalisasi!$L$6-Konvergensi!$D$261;2);PANGKAT(Normalisasi!$M$6-Konvergensi!$E$261;2);PANGKAT(Normalisasi!$N$6-Konvergensi!$F$261;2);PANGKAT(Normalisasi!$O$6-Konvergensi!$G$261;2);PANGKAT(Normalisasi!$P$6-Konvergensi!$H$261;2)))</f>
        <v/>
      </c>
      <c r="F275">
        <f>JIKA(C275&lt;=D275;=JIKA(C275&lt;=E275;0;2);=JIKA(D275&lt;=E275;1;2))</f>
        <v/>
      </c>
      <c r="G275">
        <f>JUMLAH(JIKA(F275=0;JUMLAH(PANGKAT(Normalisasi!$J$6-Konvergensi!$B$324;2);PANGKAT(Normalisasi!$K$6-Konvergensi!$C$324;2);PANGKAT(Normalisasi!$L$6-Konvergensi!$D$324;2);PANGKAT(Normalisasi!$M$6-Konvergensi!$E$324;2);PANGKAT(Normalisasi!$N$6-Konvergensi!$F$324;2);PANGKAT(Normalisasi!$O$6-Konvergensi!$G$324;2);PANGKAT(Normalisasi!$P$6-Konvergensi!$H$324;2));0);JIKA(F275=1;JUMLAH(PANGKAT(Normalisasi!$J$6-Konvergensi!$B$325;2);PANGKAT(Normalisasi!$K$6-Konvergensi!$C$325;2);PANGKAT(Normalisasi!$L$6-Konvergensi!$D$325;2);PANGKAT(Normalisasi!$M$6-Konvergensi!$E$325;2);PANGKAT(Normalisasi!$N$6-Konvergensi!$F$325;2);PANGKAT(Normalisasi!$O$6-Konvergensi!$G$325;2);PANGKAT(Normalisasi!$P$6-Konvergensi!$H$325;2));0);JIKA(F275=2;JUMLAH(PANGKAT(Normalisasi!$J$6-Konvergensi!$B$326;2);PANGKAT(Normalisasi!$K$6-Konvergensi!$C$326;2);PANGKAT(Normalisasi!$L$6-Konvergensi!$D$326;2);PANGKAT(Normalisasi!$M$6-Konvergensi!$E$326;2);PANGKAT(Normalisasi!$N$6-Konvergensi!$F$326;2);PANGKAT(Normalisasi!$O$6-Konvergensi!$G$326;2);PANGKAT(Normalisasi!$P$6-Konvergensi!$H$326;2));0))</f>
        <v/>
      </c>
      <c r="H275" t="n">
        <v>0</v>
      </c>
      <c r="I275" t="n">
        <v>6.080141142932803</v>
      </c>
    </row>
    <row r="276">
      <c r="A276">
        <f>Data_Awal!A7</f>
        <v/>
      </c>
      <c r="B276">
        <f>Data_Awal!B7</f>
        <v/>
      </c>
      <c r="C276">
        <f>AKAR(JUMLAH(PANGKAT(Normalisasi!$J$7-Konvergensi!$B$259;2);PANGKAT(Normalisasi!$K$7-Konvergensi!$C$259;2);PANGKAT(Normalisasi!$L$7-Konvergensi!$D$259;2);PANGKAT(Normalisasi!$M$7-Konvergensi!$E$259;2);PANGKAT(Normalisasi!$N$7-Konvergensi!$F$259;2);PANGKAT(Normalisasi!$O$7-Konvergensi!$G$259;2);PANGKAT(Normalisasi!$P$7-Konvergensi!$H$259;2)))</f>
        <v/>
      </c>
      <c r="D276">
        <f>AKAR(JUMLAH(PANGKAT(Normalisasi!$J$7-Konvergensi!$B$260;2);PANGKAT(Normalisasi!$K$7-Konvergensi!$C$260;2);PANGKAT(Normalisasi!$L$7-Konvergensi!$D$260;2);PANGKAT(Normalisasi!$M$7-Konvergensi!$E$260;2);PANGKAT(Normalisasi!$N$7-Konvergensi!$F$260;2);PANGKAT(Normalisasi!$O$7-Konvergensi!$G$260;2);PANGKAT(Normalisasi!$P$7-Konvergensi!$H$260;2)))</f>
        <v/>
      </c>
      <c r="E276">
        <f>AKAR(JUMLAH(PANGKAT(Normalisasi!$J$7-Konvergensi!$B$261;2);PANGKAT(Normalisasi!$K$7-Konvergensi!$C$261;2);PANGKAT(Normalisasi!$L$7-Konvergensi!$D$261;2);PANGKAT(Normalisasi!$M$7-Konvergensi!$E$261;2);PANGKAT(Normalisasi!$N$7-Konvergensi!$F$261;2);PANGKAT(Normalisasi!$O$7-Konvergensi!$G$261;2);PANGKAT(Normalisasi!$P$7-Konvergensi!$H$261;2)))</f>
        <v/>
      </c>
      <c r="F276">
        <f>JIKA(C276&lt;=D276;=JIKA(C276&lt;=E276;0;2);=JIKA(D276&lt;=E276;1;2))</f>
        <v/>
      </c>
      <c r="G276">
        <f>JUMLAH(JIKA(F276=0;JUMLAH(PANGKAT(Normalisasi!$J$7-Konvergensi!$B$324;2);PANGKAT(Normalisasi!$K$7-Konvergensi!$C$324;2);PANGKAT(Normalisasi!$L$7-Konvergensi!$D$324;2);PANGKAT(Normalisasi!$M$7-Konvergensi!$E$324;2);PANGKAT(Normalisasi!$N$7-Konvergensi!$F$324;2);PANGKAT(Normalisasi!$O$7-Konvergensi!$G$324;2);PANGKAT(Normalisasi!$P$7-Konvergensi!$H$324;2));0);JIKA(F276=1;JUMLAH(PANGKAT(Normalisasi!$J$7-Konvergensi!$B$325;2);PANGKAT(Normalisasi!$K$7-Konvergensi!$C$325;2);PANGKAT(Normalisasi!$L$7-Konvergensi!$D$325;2);PANGKAT(Normalisasi!$M$7-Konvergensi!$E$325;2);PANGKAT(Normalisasi!$N$7-Konvergensi!$F$325;2);PANGKAT(Normalisasi!$O$7-Konvergensi!$G$325;2);PANGKAT(Normalisasi!$P$7-Konvergensi!$H$325;2));0);JIKA(F276=2;JUMLAH(PANGKAT(Normalisasi!$J$7-Konvergensi!$B$326;2);PANGKAT(Normalisasi!$K$7-Konvergensi!$C$326;2);PANGKAT(Normalisasi!$L$7-Konvergensi!$D$326;2);PANGKAT(Normalisasi!$M$7-Konvergensi!$E$326;2);PANGKAT(Normalisasi!$N$7-Konvergensi!$F$326;2);PANGKAT(Normalisasi!$O$7-Konvergensi!$G$326;2);PANGKAT(Normalisasi!$P$7-Konvergensi!$H$326;2));0))</f>
        <v/>
      </c>
      <c r="H276" t="n">
        <v>0</v>
      </c>
      <c r="I276" t="n">
        <v>6.077741972989035</v>
      </c>
    </row>
    <row r="277">
      <c r="A277">
        <f>Data_Awal!A8</f>
        <v/>
      </c>
      <c r="B277">
        <f>Data_Awal!B8</f>
        <v/>
      </c>
      <c r="C277">
        <f>AKAR(JUMLAH(PANGKAT(Normalisasi!$J$8-Konvergensi!$B$259;2);PANGKAT(Normalisasi!$K$8-Konvergensi!$C$259;2);PANGKAT(Normalisasi!$L$8-Konvergensi!$D$259;2);PANGKAT(Normalisasi!$M$8-Konvergensi!$E$259;2);PANGKAT(Normalisasi!$N$8-Konvergensi!$F$259;2);PANGKAT(Normalisasi!$O$8-Konvergensi!$G$259;2);PANGKAT(Normalisasi!$P$8-Konvergensi!$H$259;2)))</f>
        <v/>
      </c>
      <c r="D277">
        <f>AKAR(JUMLAH(PANGKAT(Normalisasi!$J$8-Konvergensi!$B$260;2);PANGKAT(Normalisasi!$K$8-Konvergensi!$C$260;2);PANGKAT(Normalisasi!$L$8-Konvergensi!$D$260;2);PANGKAT(Normalisasi!$M$8-Konvergensi!$E$260;2);PANGKAT(Normalisasi!$N$8-Konvergensi!$F$260;2);PANGKAT(Normalisasi!$O$8-Konvergensi!$G$260;2);PANGKAT(Normalisasi!$P$8-Konvergensi!$H$260;2)))</f>
        <v/>
      </c>
      <c r="E277">
        <f>AKAR(JUMLAH(PANGKAT(Normalisasi!$J$8-Konvergensi!$B$261;2);PANGKAT(Normalisasi!$K$8-Konvergensi!$C$261;2);PANGKAT(Normalisasi!$L$8-Konvergensi!$D$261;2);PANGKAT(Normalisasi!$M$8-Konvergensi!$E$261;2);PANGKAT(Normalisasi!$N$8-Konvergensi!$F$261;2);PANGKAT(Normalisasi!$O$8-Konvergensi!$G$261;2);PANGKAT(Normalisasi!$P$8-Konvergensi!$H$261;2)))</f>
        <v/>
      </c>
      <c r="F277">
        <f>JIKA(C277&lt;=D277;=JIKA(C277&lt;=E277;0;2);=JIKA(D277&lt;=E277;1;2))</f>
        <v/>
      </c>
      <c r="G277">
        <f>JUMLAH(JIKA(F277=0;JUMLAH(PANGKAT(Normalisasi!$J$8-Konvergensi!$B$324;2);PANGKAT(Normalisasi!$K$8-Konvergensi!$C$324;2);PANGKAT(Normalisasi!$L$8-Konvergensi!$D$324;2);PANGKAT(Normalisasi!$M$8-Konvergensi!$E$324;2);PANGKAT(Normalisasi!$N$8-Konvergensi!$F$324;2);PANGKAT(Normalisasi!$O$8-Konvergensi!$G$324;2);PANGKAT(Normalisasi!$P$8-Konvergensi!$H$324;2));0);JIKA(F277=1;JUMLAH(PANGKAT(Normalisasi!$J$8-Konvergensi!$B$325;2);PANGKAT(Normalisasi!$K$8-Konvergensi!$C$325;2);PANGKAT(Normalisasi!$L$8-Konvergensi!$D$325;2);PANGKAT(Normalisasi!$M$8-Konvergensi!$E$325;2);PANGKAT(Normalisasi!$N$8-Konvergensi!$F$325;2);PANGKAT(Normalisasi!$O$8-Konvergensi!$G$325;2);PANGKAT(Normalisasi!$P$8-Konvergensi!$H$325;2));0);JIKA(F277=2;JUMLAH(PANGKAT(Normalisasi!$J$8-Konvergensi!$B$326;2);PANGKAT(Normalisasi!$K$8-Konvergensi!$C$326;2);PANGKAT(Normalisasi!$L$8-Konvergensi!$D$326;2);PANGKAT(Normalisasi!$M$8-Konvergensi!$E$326;2);PANGKAT(Normalisasi!$N$8-Konvergensi!$F$326;2);PANGKAT(Normalisasi!$O$8-Konvergensi!$G$326;2);PANGKAT(Normalisasi!$P$8-Konvergensi!$H$326;2));0))</f>
        <v/>
      </c>
      <c r="H277" t="n">
        <v>0</v>
      </c>
      <c r="I277" t="n">
        <v>8.760811050641415</v>
      </c>
    </row>
    <row r="278">
      <c r="A278">
        <f>Data_Awal!A9</f>
        <v/>
      </c>
      <c r="B278">
        <f>Data_Awal!B9</f>
        <v/>
      </c>
      <c r="C278">
        <f>AKAR(JUMLAH(PANGKAT(Normalisasi!$J$9-Konvergensi!$B$259;2);PANGKAT(Normalisasi!$K$9-Konvergensi!$C$259;2);PANGKAT(Normalisasi!$L$9-Konvergensi!$D$259;2);PANGKAT(Normalisasi!$M$9-Konvergensi!$E$259;2);PANGKAT(Normalisasi!$N$9-Konvergensi!$F$259;2);PANGKAT(Normalisasi!$O$9-Konvergensi!$G$259;2);PANGKAT(Normalisasi!$P$9-Konvergensi!$H$259;2)))</f>
        <v/>
      </c>
      <c r="D278">
        <f>AKAR(JUMLAH(PANGKAT(Normalisasi!$J$9-Konvergensi!$B$260;2);PANGKAT(Normalisasi!$K$9-Konvergensi!$C$260;2);PANGKAT(Normalisasi!$L$9-Konvergensi!$D$260;2);PANGKAT(Normalisasi!$M$9-Konvergensi!$E$260;2);PANGKAT(Normalisasi!$N$9-Konvergensi!$F$260;2);PANGKAT(Normalisasi!$O$9-Konvergensi!$G$260;2);PANGKAT(Normalisasi!$P$9-Konvergensi!$H$260;2)))</f>
        <v/>
      </c>
      <c r="E278">
        <f>AKAR(JUMLAH(PANGKAT(Normalisasi!$J$9-Konvergensi!$B$261;2);PANGKAT(Normalisasi!$K$9-Konvergensi!$C$261;2);PANGKAT(Normalisasi!$L$9-Konvergensi!$D$261;2);PANGKAT(Normalisasi!$M$9-Konvergensi!$E$261;2);PANGKAT(Normalisasi!$N$9-Konvergensi!$F$261;2);PANGKAT(Normalisasi!$O$9-Konvergensi!$G$261;2);PANGKAT(Normalisasi!$P$9-Konvergensi!$H$261;2)))</f>
        <v/>
      </c>
      <c r="F278">
        <f>JIKA(C278&lt;=D278;=JIKA(C278&lt;=E278;0;2);=JIKA(D278&lt;=E278;1;2))</f>
        <v/>
      </c>
      <c r="G278">
        <f>JUMLAH(JIKA(F278=0;JUMLAH(PANGKAT(Normalisasi!$J$9-Konvergensi!$B$324;2);PANGKAT(Normalisasi!$K$9-Konvergensi!$C$324;2);PANGKAT(Normalisasi!$L$9-Konvergensi!$D$324;2);PANGKAT(Normalisasi!$M$9-Konvergensi!$E$324;2);PANGKAT(Normalisasi!$N$9-Konvergensi!$F$324;2);PANGKAT(Normalisasi!$O$9-Konvergensi!$G$324;2);PANGKAT(Normalisasi!$P$9-Konvergensi!$H$324;2));0);JIKA(F278=1;JUMLAH(PANGKAT(Normalisasi!$J$9-Konvergensi!$B$325;2);PANGKAT(Normalisasi!$K$9-Konvergensi!$C$325;2);PANGKAT(Normalisasi!$L$9-Konvergensi!$D$325;2);PANGKAT(Normalisasi!$M$9-Konvergensi!$E$325;2);PANGKAT(Normalisasi!$N$9-Konvergensi!$F$325;2);PANGKAT(Normalisasi!$O$9-Konvergensi!$G$325;2);PANGKAT(Normalisasi!$P$9-Konvergensi!$H$325;2));0);JIKA(F278=2;JUMLAH(PANGKAT(Normalisasi!$J$9-Konvergensi!$B$326;2);PANGKAT(Normalisasi!$K$9-Konvergensi!$C$326;2);PANGKAT(Normalisasi!$L$9-Konvergensi!$D$326;2);PANGKAT(Normalisasi!$M$9-Konvergensi!$E$326;2);PANGKAT(Normalisasi!$N$9-Konvergensi!$F$326;2);PANGKAT(Normalisasi!$O$9-Konvergensi!$G$326;2);PANGKAT(Normalisasi!$P$9-Konvergensi!$H$326;2));0))</f>
        <v/>
      </c>
      <c r="H278" t="n">
        <v>1</v>
      </c>
      <c r="I278" t="n">
        <v>6.846697401376302</v>
      </c>
    </row>
    <row r="279">
      <c r="A279">
        <f>Data_Awal!A10</f>
        <v/>
      </c>
      <c r="B279">
        <f>Data_Awal!B10</f>
        <v/>
      </c>
      <c r="C279">
        <f>AKAR(JUMLAH(PANGKAT(Normalisasi!$J$10-Konvergensi!$B$259;2);PANGKAT(Normalisasi!$K$10-Konvergensi!$C$259;2);PANGKAT(Normalisasi!$L$10-Konvergensi!$D$259;2);PANGKAT(Normalisasi!$M$10-Konvergensi!$E$259;2);PANGKAT(Normalisasi!$N$10-Konvergensi!$F$259;2);PANGKAT(Normalisasi!$O$10-Konvergensi!$G$259;2);PANGKAT(Normalisasi!$P$10-Konvergensi!$H$259;2)))</f>
        <v/>
      </c>
      <c r="D279">
        <f>AKAR(JUMLAH(PANGKAT(Normalisasi!$J$10-Konvergensi!$B$260;2);PANGKAT(Normalisasi!$K$10-Konvergensi!$C$260;2);PANGKAT(Normalisasi!$L$10-Konvergensi!$D$260;2);PANGKAT(Normalisasi!$M$10-Konvergensi!$E$260;2);PANGKAT(Normalisasi!$N$10-Konvergensi!$F$260;2);PANGKAT(Normalisasi!$O$10-Konvergensi!$G$260;2);PANGKAT(Normalisasi!$P$10-Konvergensi!$H$260;2)))</f>
        <v/>
      </c>
      <c r="E279">
        <f>AKAR(JUMLAH(PANGKAT(Normalisasi!$J$10-Konvergensi!$B$261;2);PANGKAT(Normalisasi!$K$10-Konvergensi!$C$261;2);PANGKAT(Normalisasi!$L$10-Konvergensi!$D$261;2);PANGKAT(Normalisasi!$M$10-Konvergensi!$E$261;2);PANGKAT(Normalisasi!$N$10-Konvergensi!$F$261;2);PANGKAT(Normalisasi!$O$10-Konvergensi!$G$261;2);PANGKAT(Normalisasi!$P$10-Konvergensi!$H$261;2)))</f>
        <v/>
      </c>
      <c r="F279">
        <f>JIKA(C279&lt;=D279;=JIKA(C279&lt;=E279;0;2);=JIKA(D279&lt;=E279;1;2))</f>
        <v/>
      </c>
      <c r="G279">
        <f>JUMLAH(JIKA(F279=0;JUMLAH(PANGKAT(Normalisasi!$J$10-Konvergensi!$B$324;2);PANGKAT(Normalisasi!$K$10-Konvergensi!$C$324;2);PANGKAT(Normalisasi!$L$10-Konvergensi!$D$324;2);PANGKAT(Normalisasi!$M$10-Konvergensi!$E$324;2);PANGKAT(Normalisasi!$N$10-Konvergensi!$F$324;2);PANGKAT(Normalisasi!$O$10-Konvergensi!$G$324;2);PANGKAT(Normalisasi!$P$10-Konvergensi!$H$324;2));0);JIKA(F279=1;JUMLAH(PANGKAT(Normalisasi!$J$10-Konvergensi!$B$325;2);PANGKAT(Normalisasi!$K$10-Konvergensi!$C$325;2);PANGKAT(Normalisasi!$L$10-Konvergensi!$D$325;2);PANGKAT(Normalisasi!$M$10-Konvergensi!$E$325;2);PANGKAT(Normalisasi!$N$10-Konvergensi!$F$325;2);PANGKAT(Normalisasi!$O$10-Konvergensi!$G$325;2);PANGKAT(Normalisasi!$P$10-Konvergensi!$H$325;2));0);JIKA(F279=2;JUMLAH(PANGKAT(Normalisasi!$J$10-Konvergensi!$B$326;2);PANGKAT(Normalisasi!$K$10-Konvergensi!$C$326;2);PANGKAT(Normalisasi!$L$10-Konvergensi!$D$326;2);PANGKAT(Normalisasi!$M$10-Konvergensi!$E$326;2);PANGKAT(Normalisasi!$N$10-Konvergensi!$F$326;2);PANGKAT(Normalisasi!$O$10-Konvergensi!$G$326;2);PANGKAT(Normalisasi!$P$10-Konvergensi!$H$326;2));0))</f>
        <v/>
      </c>
      <c r="H279" t="n">
        <v>0</v>
      </c>
      <c r="I279" t="n">
        <v>4.427716058712678</v>
      </c>
    </row>
    <row r="280">
      <c r="A280">
        <f>Data_Awal!A11</f>
        <v/>
      </c>
      <c r="B280">
        <f>Data_Awal!B11</f>
        <v/>
      </c>
      <c r="C280">
        <f>AKAR(JUMLAH(PANGKAT(Normalisasi!$J$11-Konvergensi!$B$259;2);PANGKAT(Normalisasi!$K$11-Konvergensi!$C$259;2);PANGKAT(Normalisasi!$L$11-Konvergensi!$D$259;2);PANGKAT(Normalisasi!$M$11-Konvergensi!$E$259;2);PANGKAT(Normalisasi!$N$11-Konvergensi!$F$259;2);PANGKAT(Normalisasi!$O$11-Konvergensi!$G$259;2);PANGKAT(Normalisasi!$P$11-Konvergensi!$H$259;2)))</f>
        <v/>
      </c>
      <c r="D280">
        <f>AKAR(JUMLAH(PANGKAT(Normalisasi!$J$11-Konvergensi!$B$260;2);PANGKAT(Normalisasi!$K$11-Konvergensi!$C$260;2);PANGKAT(Normalisasi!$L$11-Konvergensi!$D$260;2);PANGKAT(Normalisasi!$M$11-Konvergensi!$E$260;2);PANGKAT(Normalisasi!$N$11-Konvergensi!$F$260;2);PANGKAT(Normalisasi!$O$11-Konvergensi!$G$260;2);PANGKAT(Normalisasi!$P$11-Konvergensi!$H$260;2)))</f>
        <v/>
      </c>
      <c r="E280">
        <f>AKAR(JUMLAH(PANGKAT(Normalisasi!$J$11-Konvergensi!$B$261;2);PANGKAT(Normalisasi!$K$11-Konvergensi!$C$261;2);PANGKAT(Normalisasi!$L$11-Konvergensi!$D$261;2);PANGKAT(Normalisasi!$M$11-Konvergensi!$E$261;2);PANGKAT(Normalisasi!$N$11-Konvergensi!$F$261;2);PANGKAT(Normalisasi!$O$11-Konvergensi!$G$261;2);PANGKAT(Normalisasi!$P$11-Konvergensi!$H$261;2)))</f>
        <v/>
      </c>
      <c r="F280">
        <f>JIKA(C280&lt;=D280;=JIKA(C280&lt;=E280;0;2);=JIKA(D280&lt;=E280;1;2))</f>
        <v/>
      </c>
      <c r="G280">
        <f>JUMLAH(JIKA(F280=0;JUMLAH(PANGKAT(Normalisasi!$J$11-Konvergensi!$B$324;2);PANGKAT(Normalisasi!$K$11-Konvergensi!$C$324;2);PANGKAT(Normalisasi!$L$11-Konvergensi!$D$324;2);PANGKAT(Normalisasi!$M$11-Konvergensi!$E$324;2);PANGKAT(Normalisasi!$N$11-Konvergensi!$F$324;2);PANGKAT(Normalisasi!$O$11-Konvergensi!$G$324;2);PANGKAT(Normalisasi!$P$11-Konvergensi!$H$324;2));0);JIKA(F280=1;JUMLAH(PANGKAT(Normalisasi!$J$11-Konvergensi!$B$325;2);PANGKAT(Normalisasi!$K$11-Konvergensi!$C$325;2);PANGKAT(Normalisasi!$L$11-Konvergensi!$D$325;2);PANGKAT(Normalisasi!$M$11-Konvergensi!$E$325;2);PANGKAT(Normalisasi!$N$11-Konvergensi!$F$325;2);PANGKAT(Normalisasi!$O$11-Konvergensi!$G$325;2);PANGKAT(Normalisasi!$P$11-Konvergensi!$H$325;2));0);JIKA(F280=2;JUMLAH(PANGKAT(Normalisasi!$J$11-Konvergensi!$B$326;2);PANGKAT(Normalisasi!$K$11-Konvergensi!$C$326;2);PANGKAT(Normalisasi!$L$11-Konvergensi!$D$326;2);PANGKAT(Normalisasi!$M$11-Konvergensi!$E$326;2);PANGKAT(Normalisasi!$N$11-Konvergensi!$F$326;2);PANGKAT(Normalisasi!$O$11-Konvergensi!$G$326;2);PANGKAT(Normalisasi!$P$11-Konvergensi!$H$326;2));0))</f>
        <v/>
      </c>
      <c r="H280" t="n">
        <v>1</v>
      </c>
      <c r="I280" t="n">
        <v>1.618477953833825</v>
      </c>
    </row>
    <row r="281">
      <c r="A281">
        <f>Data_Awal!A12</f>
        <v/>
      </c>
      <c r="B281">
        <f>Data_Awal!B12</f>
        <v/>
      </c>
      <c r="C281">
        <f>AKAR(JUMLAH(PANGKAT(Normalisasi!$J$12-Konvergensi!$B$259;2);PANGKAT(Normalisasi!$K$12-Konvergensi!$C$259;2);PANGKAT(Normalisasi!$L$12-Konvergensi!$D$259;2);PANGKAT(Normalisasi!$M$12-Konvergensi!$E$259;2);PANGKAT(Normalisasi!$N$12-Konvergensi!$F$259;2);PANGKAT(Normalisasi!$O$12-Konvergensi!$G$259;2);PANGKAT(Normalisasi!$P$12-Konvergensi!$H$259;2)))</f>
        <v/>
      </c>
      <c r="D281">
        <f>AKAR(JUMLAH(PANGKAT(Normalisasi!$J$12-Konvergensi!$B$260;2);PANGKAT(Normalisasi!$K$12-Konvergensi!$C$260;2);PANGKAT(Normalisasi!$L$12-Konvergensi!$D$260;2);PANGKAT(Normalisasi!$M$12-Konvergensi!$E$260;2);PANGKAT(Normalisasi!$N$12-Konvergensi!$F$260;2);PANGKAT(Normalisasi!$O$12-Konvergensi!$G$260;2);PANGKAT(Normalisasi!$P$12-Konvergensi!$H$260;2)))</f>
        <v/>
      </c>
      <c r="E281">
        <f>AKAR(JUMLAH(PANGKAT(Normalisasi!$J$12-Konvergensi!$B$261;2);PANGKAT(Normalisasi!$K$12-Konvergensi!$C$261;2);PANGKAT(Normalisasi!$L$12-Konvergensi!$D$261;2);PANGKAT(Normalisasi!$M$12-Konvergensi!$E$261;2);PANGKAT(Normalisasi!$N$12-Konvergensi!$F$261;2);PANGKAT(Normalisasi!$O$12-Konvergensi!$G$261;2);PANGKAT(Normalisasi!$P$12-Konvergensi!$H$261;2)))</f>
        <v/>
      </c>
      <c r="F281">
        <f>JIKA(C281&lt;=D281;=JIKA(C281&lt;=E281;0;2);=JIKA(D281&lt;=E281;1;2))</f>
        <v/>
      </c>
      <c r="G281">
        <f>JUMLAH(JIKA(F281=0;JUMLAH(PANGKAT(Normalisasi!$J$12-Konvergensi!$B$324;2);PANGKAT(Normalisasi!$K$12-Konvergensi!$C$324;2);PANGKAT(Normalisasi!$L$12-Konvergensi!$D$324;2);PANGKAT(Normalisasi!$M$12-Konvergensi!$E$324;2);PANGKAT(Normalisasi!$N$12-Konvergensi!$F$324;2);PANGKAT(Normalisasi!$O$12-Konvergensi!$G$324;2);PANGKAT(Normalisasi!$P$12-Konvergensi!$H$324;2));0);JIKA(F281=1;JUMLAH(PANGKAT(Normalisasi!$J$12-Konvergensi!$B$325;2);PANGKAT(Normalisasi!$K$12-Konvergensi!$C$325;2);PANGKAT(Normalisasi!$L$12-Konvergensi!$D$325;2);PANGKAT(Normalisasi!$M$12-Konvergensi!$E$325;2);PANGKAT(Normalisasi!$N$12-Konvergensi!$F$325;2);PANGKAT(Normalisasi!$O$12-Konvergensi!$G$325;2);PANGKAT(Normalisasi!$P$12-Konvergensi!$H$325;2));0);JIKA(F281=2;JUMLAH(PANGKAT(Normalisasi!$J$12-Konvergensi!$B$326;2);PANGKAT(Normalisasi!$K$12-Konvergensi!$C$326;2);PANGKAT(Normalisasi!$L$12-Konvergensi!$D$326;2);PANGKAT(Normalisasi!$M$12-Konvergensi!$E$326;2);PANGKAT(Normalisasi!$N$12-Konvergensi!$F$326;2);PANGKAT(Normalisasi!$O$12-Konvergensi!$G$326;2);PANGKAT(Normalisasi!$P$12-Konvergensi!$H$326;2));0))</f>
        <v/>
      </c>
      <c r="H281" t="n">
        <v>1</v>
      </c>
      <c r="I281" t="n">
        <v>7.96011614729661</v>
      </c>
    </row>
    <row r="282">
      <c r="A282">
        <f>Data_Awal!A13</f>
        <v/>
      </c>
      <c r="B282">
        <f>Data_Awal!B13</f>
        <v/>
      </c>
      <c r="C282">
        <f>AKAR(JUMLAH(PANGKAT(Normalisasi!$J$13-Konvergensi!$B$259;2);PANGKAT(Normalisasi!$K$13-Konvergensi!$C$259;2);PANGKAT(Normalisasi!$L$13-Konvergensi!$D$259;2);PANGKAT(Normalisasi!$M$13-Konvergensi!$E$259;2);PANGKAT(Normalisasi!$N$13-Konvergensi!$F$259;2);PANGKAT(Normalisasi!$O$13-Konvergensi!$G$259;2);PANGKAT(Normalisasi!$P$13-Konvergensi!$H$259;2)))</f>
        <v/>
      </c>
      <c r="D282">
        <f>AKAR(JUMLAH(PANGKAT(Normalisasi!$J$13-Konvergensi!$B$260;2);PANGKAT(Normalisasi!$K$13-Konvergensi!$C$260;2);PANGKAT(Normalisasi!$L$13-Konvergensi!$D$260;2);PANGKAT(Normalisasi!$M$13-Konvergensi!$E$260;2);PANGKAT(Normalisasi!$N$13-Konvergensi!$F$260;2);PANGKAT(Normalisasi!$O$13-Konvergensi!$G$260;2);PANGKAT(Normalisasi!$P$13-Konvergensi!$H$260;2)))</f>
        <v/>
      </c>
      <c r="E282">
        <f>AKAR(JUMLAH(PANGKAT(Normalisasi!$J$13-Konvergensi!$B$261;2);PANGKAT(Normalisasi!$K$13-Konvergensi!$C$261;2);PANGKAT(Normalisasi!$L$13-Konvergensi!$D$261;2);PANGKAT(Normalisasi!$M$13-Konvergensi!$E$261;2);PANGKAT(Normalisasi!$N$13-Konvergensi!$F$261;2);PANGKAT(Normalisasi!$O$13-Konvergensi!$G$261;2);PANGKAT(Normalisasi!$P$13-Konvergensi!$H$261;2)))</f>
        <v/>
      </c>
      <c r="F282">
        <f>JIKA(C282&lt;=D282;=JIKA(C282&lt;=E282;0;2);=JIKA(D282&lt;=E282;1;2))</f>
        <v/>
      </c>
      <c r="G282">
        <f>JUMLAH(JIKA(F282=0;JUMLAH(PANGKAT(Normalisasi!$J$13-Konvergensi!$B$324;2);PANGKAT(Normalisasi!$K$13-Konvergensi!$C$324;2);PANGKAT(Normalisasi!$L$13-Konvergensi!$D$324;2);PANGKAT(Normalisasi!$M$13-Konvergensi!$E$324;2);PANGKAT(Normalisasi!$N$13-Konvergensi!$F$324;2);PANGKAT(Normalisasi!$O$13-Konvergensi!$G$324;2);PANGKAT(Normalisasi!$P$13-Konvergensi!$H$324;2));0);JIKA(F282=1;JUMLAH(PANGKAT(Normalisasi!$J$13-Konvergensi!$B$325;2);PANGKAT(Normalisasi!$K$13-Konvergensi!$C$325;2);PANGKAT(Normalisasi!$L$13-Konvergensi!$D$325;2);PANGKAT(Normalisasi!$M$13-Konvergensi!$E$325;2);PANGKAT(Normalisasi!$N$13-Konvergensi!$F$325;2);PANGKAT(Normalisasi!$O$13-Konvergensi!$G$325;2);PANGKAT(Normalisasi!$P$13-Konvergensi!$H$325;2));0);JIKA(F282=2;JUMLAH(PANGKAT(Normalisasi!$J$13-Konvergensi!$B$326;2);PANGKAT(Normalisasi!$K$13-Konvergensi!$C$326;2);PANGKAT(Normalisasi!$L$13-Konvergensi!$D$326;2);PANGKAT(Normalisasi!$M$13-Konvergensi!$E$326;2);PANGKAT(Normalisasi!$N$13-Konvergensi!$F$326;2);PANGKAT(Normalisasi!$O$13-Konvergensi!$G$326;2);PANGKAT(Normalisasi!$P$13-Konvergensi!$H$326;2));0))</f>
        <v/>
      </c>
      <c r="H282" t="n">
        <v>1</v>
      </c>
      <c r="I282" t="n">
        <v>7.020823881391489</v>
      </c>
    </row>
    <row r="283">
      <c r="A283">
        <f>Data_Awal!A14</f>
        <v/>
      </c>
      <c r="B283">
        <f>Data_Awal!B14</f>
        <v/>
      </c>
      <c r="C283">
        <f>AKAR(JUMLAH(PANGKAT(Normalisasi!$J$14-Konvergensi!$B$259;2);PANGKAT(Normalisasi!$K$14-Konvergensi!$C$259;2);PANGKAT(Normalisasi!$L$14-Konvergensi!$D$259;2);PANGKAT(Normalisasi!$M$14-Konvergensi!$E$259;2);PANGKAT(Normalisasi!$N$14-Konvergensi!$F$259;2);PANGKAT(Normalisasi!$O$14-Konvergensi!$G$259;2);PANGKAT(Normalisasi!$P$14-Konvergensi!$H$259;2)))</f>
        <v/>
      </c>
      <c r="D283">
        <f>AKAR(JUMLAH(PANGKAT(Normalisasi!$J$14-Konvergensi!$B$260;2);PANGKAT(Normalisasi!$K$14-Konvergensi!$C$260;2);PANGKAT(Normalisasi!$L$14-Konvergensi!$D$260;2);PANGKAT(Normalisasi!$M$14-Konvergensi!$E$260;2);PANGKAT(Normalisasi!$N$14-Konvergensi!$F$260;2);PANGKAT(Normalisasi!$O$14-Konvergensi!$G$260;2);PANGKAT(Normalisasi!$P$14-Konvergensi!$H$260;2)))</f>
        <v/>
      </c>
      <c r="E283">
        <f>AKAR(JUMLAH(PANGKAT(Normalisasi!$J$14-Konvergensi!$B$261;2);PANGKAT(Normalisasi!$K$14-Konvergensi!$C$261;2);PANGKAT(Normalisasi!$L$14-Konvergensi!$D$261;2);PANGKAT(Normalisasi!$M$14-Konvergensi!$E$261;2);PANGKAT(Normalisasi!$N$14-Konvergensi!$F$261;2);PANGKAT(Normalisasi!$O$14-Konvergensi!$G$261;2);PANGKAT(Normalisasi!$P$14-Konvergensi!$H$261;2)))</f>
        <v/>
      </c>
      <c r="F283">
        <f>JIKA(C283&lt;=D283;=JIKA(C283&lt;=E283;0;2);=JIKA(D283&lt;=E283;1;2))</f>
        <v/>
      </c>
      <c r="G283">
        <f>JUMLAH(JIKA(F283=0;JUMLAH(PANGKAT(Normalisasi!$J$14-Konvergensi!$B$324;2);PANGKAT(Normalisasi!$K$14-Konvergensi!$C$324;2);PANGKAT(Normalisasi!$L$14-Konvergensi!$D$324;2);PANGKAT(Normalisasi!$M$14-Konvergensi!$E$324;2);PANGKAT(Normalisasi!$N$14-Konvergensi!$F$324;2);PANGKAT(Normalisasi!$O$14-Konvergensi!$G$324;2);PANGKAT(Normalisasi!$P$14-Konvergensi!$H$324;2));0);JIKA(F283=1;JUMLAH(PANGKAT(Normalisasi!$J$14-Konvergensi!$B$325;2);PANGKAT(Normalisasi!$K$14-Konvergensi!$C$325;2);PANGKAT(Normalisasi!$L$14-Konvergensi!$D$325;2);PANGKAT(Normalisasi!$M$14-Konvergensi!$E$325;2);PANGKAT(Normalisasi!$N$14-Konvergensi!$F$325;2);PANGKAT(Normalisasi!$O$14-Konvergensi!$G$325;2);PANGKAT(Normalisasi!$P$14-Konvergensi!$H$325;2));0);JIKA(F283=2;JUMLAH(PANGKAT(Normalisasi!$J$14-Konvergensi!$B$326;2);PANGKAT(Normalisasi!$K$14-Konvergensi!$C$326;2);PANGKAT(Normalisasi!$L$14-Konvergensi!$D$326;2);PANGKAT(Normalisasi!$M$14-Konvergensi!$E$326;2);PANGKAT(Normalisasi!$N$14-Konvergensi!$F$326;2);PANGKAT(Normalisasi!$O$14-Konvergensi!$G$326;2);PANGKAT(Normalisasi!$P$14-Konvergensi!$H$326;2));0))</f>
        <v/>
      </c>
      <c r="H283" t="n">
        <v>2</v>
      </c>
      <c r="I283" t="n">
        <v>3.681624776387889</v>
      </c>
    </row>
    <row r="284">
      <c r="A284">
        <f>Data_Awal!A15</f>
        <v/>
      </c>
      <c r="B284">
        <f>Data_Awal!B15</f>
        <v/>
      </c>
      <c r="C284">
        <f>AKAR(JUMLAH(PANGKAT(Normalisasi!$J$15-Konvergensi!$B$259;2);PANGKAT(Normalisasi!$K$15-Konvergensi!$C$259;2);PANGKAT(Normalisasi!$L$15-Konvergensi!$D$259;2);PANGKAT(Normalisasi!$M$15-Konvergensi!$E$259;2);PANGKAT(Normalisasi!$N$15-Konvergensi!$F$259;2);PANGKAT(Normalisasi!$O$15-Konvergensi!$G$259;2);PANGKAT(Normalisasi!$P$15-Konvergensi!$H$259;2)))</f>
        <v/>
      </c>
      <c r="D284">
        <f>AKAR(JUMLAH(PANGKAT(Normalisasi!$J$15-Konvergensi!$B$260;2);PANGKAT(Normalisasi!$K$15-Konvergensi!$C$260;2);PANGKAT(Normalisasi!$L$15-Konvergensi!$D$260;2);PANGKAT(Normalisasi!$M$15-Konvergensi!$E$260;2);PANGKAT(Normalisasi!$N$15-Konvergensi!$F$260;2);PANGKAT(Normalisasi!$O$15-Konvergensi!$G$260;2);PANGKAT(Normalisasi!$P$15-Konvergensi!$H$260;2)))</f>
        <v/>
      </c>
      <c r="E284">
        <f>AKAR(JUMLAH(PANGKAT(Normalisasi!$J$15-Konvergensi!$B$261;2);PANGKAT(Normalisasi!$K$15-Konvergensi!$C$261;2);PANGKAT(Normalisasi!$L$15-Konvergensi!$D$261;2);PANGKAT(Normalisasi!$M$15-Konvergensi!$E$261;2);PANGKAT(Normalisasi!$N$15-Konvergensi!$F$261;2);PANGKAT(Normalisasi!$O$15-Konvergensi!$G$261;2);PANGKAT(Normalisasi!$P$15-Konvergensi!$H$261;2)))</f>
        <v/>
      </c>
      <c r="F284">
        <f>JIKA(C284&lt;=D284;=JIKA(C284&lt;=E284;0;2);=JIKA(D284&lt;=E284;1;2))</f>
        <v/>
      </c>
      <c r="G284">
        <f>JUMLAH(JIKA(F284=0;JUMLAH(PANGKAT(Normalisasi!$J$15-Konvergensi!$B$324;2);PANGKAT(Normalisasi!$K$15-Konvergensi!$C$324;2);PANGKAT(Normalisasi!$L$15-Konvergensi!$D$324;2);PANGKAT(Normalisasi!$M$15-Konvergensi!$E$324;2);PANGKAT(Normalisasi!$N$15-Konvergensi!$F$324;2);PANGKAT(Normalisasi!$O$15-Konvergensi!$G$324;2);PANGKAT(Normalisasi!$P$15-Konvergensi!$H$324;2));0);JIKA(F284=1;JUMLAH(PANGKAT(Normalisasi!$J$15-Konvergensi!$B$325;2);PANGKAT(Normalisasi!$K$15-Konvergensi!$C$325;2);PANGKAT(Normalisasi!$L$15-Konvergensi!$D$325;2);PANGKAT(Normalisasi!$M$15-Konvergensi!$E$325;2);PANGKAT(Normalisasi!$N$15-Konvergensi!$F$325;2);PANGKAT(Normalisasi!$O$15-Konvergensi!$G$325;2);PANGKAT(Normalisasi!$P$15-Konvergensi!$H$325;2));0);JIKA(F284=2;JUMLAH(PANGKAT(Normalisasi!$J$15-Konvergensi!$B$326;2);PANGKAT(Normalisasi!$K$15-Konvergensi!$C$326;2);PANGKAT(Normalisasi!$L$15-Konvergensi!$D$326;2);PANGKAT(Normalisasi!$M$15-Konvergensi!$E$326;2);PANGKAT(Normalisasi!$N$15-Konvergensi!$F$326;2);PANGKAT(Normalisasi!$O$15-Konvergensi!$G$326;2);PANGKAT(Normalisasi!$P$15-Konvergensi!$H$326;2));0))</f>
        <v/>
      </c>
      <c r="H284" t="n">
        <v>0</v>
      </c>
      <c r="I284" t="n">
        <v>4.005654183051992</v>
      </c>
    </row>
    <row r="285">
      <c r="A285">
        <f>Data_Awal!A16</f>
        <v/>
      </c>
      <c r="B285">
        <f>Data_Awal!B16</f>
        <v/>
      </c>
      <c r="C285">
        <f>AKAR(JUMLAH(PANGKAT(Normalisasi!$J$16-Konvergensi!$B$259;2);PANGKAT(Normalisasi!$K$16-Konvergensi!$C$259;2);PANGKAT(Normalisasi!$L$16-Konvergensi!$D$259;2);PANGKAT(Normalisasi!$M$16-Konvergensi!$E$259;2);PANGKAT(Normalisasi!$N$16-Konvergensi!$F$259;2);PANGKAT(Normalisasi!$O$16-Konvergensi!$G$259;2);PANGKAT(Normalisasi!$P$16-Konvergensi!$H$259;2)))</f>
        <v/>
      </c>
      <c r="D285">
        <f>AKAR(JUMLAH(PANGKAT(Normalisasi!$J$16-Konvergensi!$B$260;2);PANGKAT(Normalisasi!$K$16-Konvergensi!$C$260;2);PANGKAT(Normalisasi!$L$16-Konvergensi!$D$260;2);PANGKAT(Normalisasi!$M$16-Konvergensi!$E$260;2);PANGKAT(Normalisasi!$N$16-Konvergensi!$F$260;2);PANGKAT(Normalisasi!$O$16-Konvergensi!$G$260;2);PANGKAT(Normalisasi!$P$16-Konvergensi!$H$260;2)))</f>
        <v/>
      </c>
      <c r="E285">
        <f>AKAR(JUMLAH(PANGKAT(Normalisasi!$J$16-Konvergensi!$B$261;2);PANGKAT(Normalisasi!$K$16-Konvergensi!$C$261;2);PANGKAT(Normalisasi!$L$16-Konvergensi!$D$261;2);PANGKAT(Normalisasi!$M$16-Konvergensi!$E$261;2);PANGKAT(Normalisasi!$N$16-Konvergensi!$F$261;2);PANGKAT(Normalisasi!$O$16-Konvergensi!$G$261;2);PANGKAT(Normalisasi!$P$16-Konvergensi!$H$261;2)))</f>
        <v/>
      </c>
      <c r="F285">
        <f>JIKA(C285&lt;=D285;=JIKA(C285&lt;=E285;0;2);=JIKA(D285&lt;=E285;1;2))</f>
        <v/>
      </c>
      <c r="G285">
        <f>JUMLAH(JIKA(F285=0;JUMLAH(PANGKAT(Normalisasi!$J$16-Konvergensi!$B$324;2);PANGKAT(Normalisasi!$K$16-Konvergensi!$C$324;2);PANGKAT(Normalisasi!$L$16-Konvergensi!$D$324;2);PANGKAT(Normalisasi!$M$16-Konvergensi!$E$324;2);PANGKAT(Normalisasi!$N$16-Konvergensi!$F$324;2);PANGKAT(Normalisasi!$O$16-Konvergensi!$G$324;2);PANGKAT(Normalisasi!$P$16-Konvergensi!$H$324;2));0);JIKA(F285=1;JUMLAH(PANGKAT(Normalisasi!$J$16-Konvergensi!$B$325;2);PANGKAT(Normalisasi!$K$16-Konvergensi!$C$325;2);PANGKAT(Normalisasi!$L$16-Konvergensi!$D$325;2);PANGKAT(Normalisasi!$M$16-Konvergensi!$E$325;2);PANGKAT(Normalisasi!$N$16-Konvergensi!$F$325;2);PANGKAT(Normalisasi!$O$16-Konvergensi!$G$325;2);PANGKAT(Normalisasi!$P$16-Konvergensi!$H$325;2));0);JIKA(F285=2;JUMLAH(PANGKAT(Normalisasi!$J$16-Konvergensi!$B$326;2);PANGKAT(Normalisasi!$K$16-Konvergensi!$C$326;2);PANGKAT(Normalisasi!$L$16-Konvergensi!$D$326;2);PANGKAT(Normalisasi!$M$16-Konvergensi!$E$326;2);PANGKAT(Normalisasi!$N$16-Konvergensi!$F$326;2);PANGKAT(Normalisasi!$O$16-Konvergensi!$G$326;2);PANGKAT(Normalisasi!$P$16-Konvergensi!$H$326;2));0))</f>
        <v/>
      </c>
      <c r="H285" t="n">
        <v>1</v>
      </c>
      <c r="I285" t="n">
        <v>7.769736498415128</v>
      </c>
    </row>
    <row r="286">
      <c r="A286">
        <f>Data_Awal!A17</f>
        <v/>
      </c>
      <c r="B286">
        <f>Data_Awal!B17</f>
        <v/>
      </c>
      <c r="C286">
        <f>AKAR(JUMLAH(PANGKAT(Normalisasi!$J$17-Konvergensi!$B$259;2);PANGKAT(Normalisasi!$K$17-Konvergensi!$C$259;2);PANGKAT(Normalisasi!$L$17-Konvergensi!$D$259;2);PANGKAT(Normalisasi!$M$17-Konvergensi!$E$259;2);PANGKAT(Normalisasi!$N$17-Konvergensi!$F$259;2);PANGKAT(Normalisasi!$O$17-Konvergensi!$G$259;2);PANGKAT(Normalisasi!$P$17-Konvergensi!$H$259;2)))</f>
        <v/>
      </c>
      <c r="D286">
        <f>AKAR(JUMLAH(PANGKAT(Normalisasi!$J$17-Konvergensi!$B$260;2);PANGKAT(Normalisasi!$K$17-Konvergensi!$C$260;2);PANGKAT(Normalisasi!$L$17-Konvergensi!$D$260;2);PANGKAT(Normalisasi!$M$17-Konvergensi!$E$260;2);PANGKAT(Normalisasi!$N$17-Konvergensi!$F$260;2);PANGKAT(Normalisasi!$O$17-Konvergensi!$G$260;2);PANGKAT(Normalisasi!$P$17-Konvergensi!$H$260;2)))</f>
        <v/>
      </c>
      <c r="E286">
        <f>AKAR(JUMLAH(PANGKAT(Normalisasi!$J$17-Konvergensi!$B$261;2);PANGKAT(Normalisasi!$K$17-Konvergensi!$C$261;2);PANGKAT(Normalisasi!$L$17-Konvergensi!$D$261;2);PANGKAT(Normalisasi!$M$17-Konvergensi!$E$261;2);PANGKAT(Normalisasi!$N$17-Konvergensi!$F$261;2);PANGKAT(Normalisasi!$O$17-Konvergensi!$G$261;2);PANGKAT(Normalisasi!$P$17-Konvergensi!$H$261;2)))</f>
        <v/>
      </c>
      <c r="F286">
        <f>JIKA(C286&lt;=D286;=JIKA(C286&lt;=E286;0;2);=JIKA(D286&lt;=E286;1;2))</f>
        <v/>
      </c>
      <c r="G286">
        <f>JUMLAH(JIKA(F286=0;JUMLAH(PANGKAT(Normalisasi!$J$17-Konvergensi!$B$324;2);PANGKAT(Normalisasi!$K$17-Konvergensi!$C$324;2);PANGKAT(Normalisasi!$L$17-Konvergensi!$D$324;2);PANGKAT(Normalisasi!$M$17-Konvergensi!$E$324;2);PANGKAT(Normalisasi!$N$17-Konvergensi!$F$324;2);PANGKAT(Normalisasi!$O$17-Konvergensi!$G$324;2);PANGKAT(Normalisasi!$P$17-Konvergensi!$H$324;2));0);JIKA(F286=1;JUMLAH(PANGKAT(Normalisasi!$J$17-Konvergensi!$B$325;2);PANGKAT(Normalisasi!$K$17-Konvergensi!$C$325;2);PANGKAT(Normalisasi!$L$17-Konvergensi!$D$325;2);PANGKAT(Normalisasi!$M$17-Konvergensi!$E$325;2);PANGKAT(Normalisasi!$N$17-Konvergensi!$F$325;2);PANGKAT(Normalisasi!$O$17-Konvergensi!$G$325;2);PANGKAT(Normalisasi!$P$17-Konvergensi!$H$325;2));0);JIKA(F286=2;JUMLAH(PANGKAT(Normalisasi!$J$17-Konvergensi!$B$326;2);PANGKAT(Normalisasi!$K$17-Konvergensi!$C$326;2);PANGKAT(Normalisasi!$L$17-Konvergensi!$D$326;2);PANGKAT(Normalisasi!$M$17-Konvergensi!$E$326;2);PANGKAT(Normalisasi!$N$17-Konvergensi!$F$326;2);PANGKAT(Normalisasi!$O$17-Konvergensi!$G$326;2);PANGKAT(Normalisasi!$P$17-Konvergensi!$H$326;2));0))</f>
        <v/>
      </c>
      <c r="H286" t="n">
        <v>1</v>
      </c>
      <c r="I286" t="n">
        <v>3.516929456132632</v>
      </c>
    </row>
    <row r="287">
      <c r="A287">
        <f>Data_Awal!A18</f>
        <v/>
      </c>
      <c r="B287">
        <f>Data_Awal!B18</f>
        <v/>
      </c>
      <c r="C287">
        <f>AKAR(JUMLAH(PANGKAT(Normalisasi!$J$18-Konvergensi!$B$259;2);PANGKAT(Normalisasi!$K$18-Konvergensi!$C$259;2);PANGKAT(Normalisasi!$L$18-Konvergensi!$D$259;2);PANGKAT(Normalisasi!$M$18-Konvergensi!$E$259;2);PANGKAT(Normalisasi!$N$18-Konvergensi!$F$259;2);PANGKAT(Normalisasi!$O$18-Konvergensi!$G$259;2);PANGKAT(Normalisasi!$P$18-Konvergensi!$H$259;2)))</f>
        <v/>
      </c>
      <c r="D287">
        <f>AKAR(JUMLAH(PANGKAT(Normalisasi!$J$18-Konvergensi!$B$260;2);PANGKAT(Normalisasi!$K$18-Konvergensi!$C$260;2);PANGKAT(Normalisasi!$L$18-Konvergensi!$D$260;2);PANGKAT(Normalisasi!$M$18-Konvergensi!$E$260;2);PANGKAT(Normalisasi!$N$18-Konvergensi!$F$260;2);PANGKAT(Normalisasi!$O$18-Konvergensi!$G$260;2);PANGKAT(Normalisasi!$P$18-Konvergensi!$H$260;2)))</f>
        <v/>
      </c>
      <c r="E287">
        <f>AKAR(JUMLAH(PANGKAT(Normalisasi!$J$18-Konvergensi!$B$261;2);PANGKAT(Normalisasi!$K$18-Konvergensi!$C$261;2);PANGKAT(Normalisasi!$L$18-Konvergensi!$D$261;2);PANGKAT(Normalisasi!$M$18-Konvergensi!$E$261;2);PANGKAT(Normalisasi!$N$18-Konvergensi!$F$261;2);PANGKAT(Normalisasi!$O$18-Konvergensi!$G$261;2);PANGKAT(Normalisasi!$P$18-Konvergensi!$H$261;2)))</f>
        <v/>
      </c>
      <c r="F287">
        <f>JIKA(C287&lt;=D287;=JIKA(C287&lt;=E287;0;2);=JIKA(D287&lt;=E287;1;2))</f>
        <v/>
      </c>
      <c r="G287">
        <f>JUMLAH(JIKA(F287=0;JUMLAH(PANGKAT(Normalisasi!$J$18-Konvergensi!$B$324;2);PANGKAT(Normalisasi!$K$18-Konvergensi!$C$324;2);PANGKAT(Normalisasi!$L$18-Konvergensi!$D$324;2);PANGKAT(Normalisasi!$M$18-Konvergensi!$E$324;2);PANGKAT(Normalisasi!$N$18-Konvergensi!$F$324;2);PANGKAT(Normalisasi!$O$18-Konvergensi!$G$324;2);PANGKAT(Normalisasi!$P$18-Konvergensi!$H$324;2));0);JIKA(F287=1;JUMLAH(PANGKAT(Normalisasi!$J$18-Konvergensi!$B$325;2);PANGKAT(Normalisasi!$K$18-Konvergensi!$C$325;2);PANGKAT(Normalisasi!$L$18-Konvergensi!$D$325;2);PANGKAT(Normalisasi!$M$18-Konvergensi!$E$325;2);PANGKAT(Normalisasi!$N$18-Konvergensi!$F$325;2);PANGKAT(Normalisasi!$O$18-Konvergensi!$G$325;2);PANGKAT(Normalisasi!$P$18-Konvergensi!$H$325;2));0);JIKA(F287=2;JUMLAH(PANGKAT(Normalisasi!$J$18-Konvergensi!$B$326;2);PANGKAT(Normalisasi!$K$18-Konvergensi!$C$326;2);PANGKAT(Normalisasi!$L$18-Konvergensi!$D$326;2);PANGKAT(Normalisasi!$M$18-Konvergensi!$E$326;2);PANGKAT(Normalisasi!$N$18-Konvergensi!$F$326;2);PANGKAT(Normalisasi!$O$18-Konvergensi!$G$326;2);PANGKAT(Normalisasi!$P$18-Konvergensi!$H$326;2));0))</f>
        <v/>
      </c>
      <c r="H287" t="n">
        <v>0</v>
      </c>
      <c r="I287" t="n">
        <v>6.740556402963778</v>
      </c>
    </row>
    <row r="288">
      <c r="A288">
        <f>Data_Awal!A19</f>
        <v/>
      </c>
      <c r="B288">
        <f>Data_Awal!B19</f>
        <v/>
      </c>
      <c r="C288">
        <f>AKAR(JUMLAH(PANGKAT(Normalisasi!$J$19-Konvergensi!$B$259;2);PANGKAT(Normalisasi!$K$19-Konvergensi!$C$259;2);PANGKAT(Normalisasi!$L$19-Konvergensi!$D$259;2);PANGKAT(Normalisasi!$M$19-Konvergensi!$E$259;2);PANGKAT(Normalisasi!$N$19-Konvergensi!$F$259;2);PANGKAT(Normalisasi!$O$19-Konvergensi!$G$259;2);PANGKAT(Normalisasi!$P$19-Konvergensi!$H$259;2)))</f>
        <v/>
      </c>
      <c r="D288">
        <f>AKAR(JUMLAH(PANGKAT(Normalisasi!$J$19-Konvergensi!$B$260;2);PANGKAT(Normalisasi!$K$19-Konvergensi!$C$260;2);PANGKAT(Normalisasi!$L$19-Konvergensi!$D$260;2);PANGKAT(Normalisasi!$M$19-Konvergensi!$E$260;2);PANGKAT(Normalisasi!$N$19-Konvergensi!$F$260;2);PANGKAT(Normalisasi!$O$19-Konvergensi!$G$260;2);PANGKAT(Normalisasi!$P$19-Konvergensi!$H$260;2)))</f>
        <v/>
      </c>
      <c r="E288">
        <f>AKAR(JUMLAH(PANGKAT(Normalisasi!$J$19-Konvergensi!$B$261;2);PANGKAT(Normalisasi!$K$19-Konvergensi!$C$261;2);PANGKAT(Normalisasi!$L$19-Konvergensi!$D$261;2);PANGKAT(Normalisasi!$M$19-Konvergensi!$E$261;2);PANGKAT(Normalisasi!$N$19-Konvergensi!$F$261;2);PANGKAT(Normalisasi!$O$19-Konvergensi!$G$261;2);PANGKAT(Normalisasi!$P$19-Konvergensi!$H$261;2)))</f>
        <v/>
      </c>
      <c r="F288">
        <f>JIKA(C288&lt;=D288;=JIKA(C288&lt;=E288;0;2);=JIKA(D288&lt;=E288;1;2))</f>
        <v/>
      </c>
      <c r="G288">
        <f>JUMLAH(JIKA(F288=0;JUMLAH(PANGKAT(Normalisasi!$J$19-Konvergensi!$B$324;2);PANGKAT(Normalisasi!$K$19-Konvergensi!$C$324;2);PANGKAT(Normalisasi!$L$19-Konvergensi!$D$324;2);PANGKAT(Normalisasi!$M$19-Konvergensi!$E$324;2);PANGKAT(Normalisasi!$N$19-Konvergensi!$F$324;2);PANGKAT(Normalisasi!$O$19-Konvergensi!$G$324;2);PANGKAT(Normalisasi!$P$19-Konvergensi!$H$324;2));0);JIKA(F288=1;JUMLAH(PANGKAT(Normalisasi!$J$19-Konvergensi!$B$325;2);PANGKAT(Normalisasi!$K$19-Konvergensi!$C$325;2);PANGKAT(Normalisasi!$L$19-Konvergensi!$D$325;2);PANGKAT(Normalisasi!$M$19-Konvergensi!$E$325;2);PANGKAT(Normalisasi!$N$19-Konvergensi!$F$325;2);PANGKAT(Normalisasi!$O$19-Konvergensi!$G$325;2);PANGKAT(Normalisasi!$P$19-Konvergensi!$H$325;2));0);JIKA(F288=2;JUMLAH(PANGKAT(Normalisasi!$J$19-Konvergensi!$B$326;2);PANGKAT(Normalisasi!$K$19-Konvergensi!$C$326;2);PANGKAT(Normalisasi!$L$19-Konvergensi!$D$326;2);PANGKAT(Normalisasi!$M$19-Konvergensi!$E$326;2);PANGKAT(Normalisasi!$N$19-Konvergensi!$F$326;2);PANGKAT(Normalisasi!$O$19-Konvergensi!$G$326;2);PANGKAT(Normalisasi!$P$19-Konvergensi!$H$326;2));0))</f>
        <v/>
      </c>
      <c r="H288" t="n">
        <v>0</v>
      </c>
      <c r="I288" t="n">
        <v>2.391477046992199</v>
      </c>
    </row>
    <row r="289">
      <c r="A289">
        <f>Data_Awal!A20</f>
        <v/>
      </c>
      <c r="B289">
        <f>Data_Awal!B20</f>
        <v/>
      </c>
      <c r="C289">
        <f>AKAR(JUMLAH(PANGKAT(Normalisasi!$J$20-Konvergensi!$B$259;2);PANGKAT(Normalisasi!$K$20-Konvergensi!$C$259;2);PANGKAT(Normalisasi!$L$20-Konvergensi!$D$259;2);PANGKAT(Normalisasi!$M$20-Konvergensi!$E$259;2);PANGKAT(Normalisasi!$N$20-Konvergensi!$F$259;2);PANGKAT(Normalisasi!$O$20-Konvergensi!$G$259;2);PANGKAT(Normalisasi!$P$20-Konvergensi!$H$259;2)))</f>
        <v/>
      </c>
      <c r="D289">
        <f>AKAR(JUMLAH(PANGKAT(Normalisasi!$J$20-Konvergensi!$B$260;2);PANGKAT(Normalisasi!$K$20-Konvergensi!$C$260;2);PANGKAT(Normalisasi!$L$20-Konvergensi!$D$260;2);PANGKAT(Normalisasi!$M$20-Konvergensi!$E$260;2);PANGKAT(Normalisasi!$N$20-Konvergensi!$F$260;2);PANGKAT(Normalisasi!$O$20-Konvergensi!$G$260;2);PANGKAT(Normalisasi!$P$20-Konvergensi!$H$260;2)))</f>
        <v/>
      </c>
      <c r="E289">
        <f>AKAR(JUMLAH(PANGKAT(Normalisasi!$J$20-Konvergensi!$B$261;2);PANGKAT(Normalisasi!$K$20-Konvergensi!$C$261;2);PANGKAT(Normalisasi!$L$20-Konvergensi!$D$261;2);PANGKAT(Normalisasi!$M$20-Konvergensi!$E$261;2);PANGKAT(Normalisasi!$N$20-Konvergensi!$F$261;2);PANGKAT(Normalisasi!$O$20-Konvergensi!$G$261;2);PANGKAT(Normalisasi!$P$20-Konvergensi!$H$261;2)))</f>
        <v/>
      </c>
      <c r="F289">
        <f>JIKA(C289&lt;=D289;=JIKA(C289&lt;=E289;0;2);=JIKA(D289&lt;=E289;1;2))</f>
        <v/>
      </c>
      <c r="G289">
        <f>JUMLAH(JIKA(F289=0;JUMLAH(PANGKAT(Normalisasi!$J$20-Konvergensi!$B$324;2);PANGKAT(Normalisasi!$K$20-Konvergensi!$C$324;2);PANGKAT(Normalisasi!$L$20-Konvergensi!$D$324;2);PANGKAT(Normalisasi!$M$20-Konvergensi!$E$324;2);PANGKAT(Normalisasi!$N$20-Konvergensi!$F$324;2);PANGKAT(Normalisasi!$O$20-Konvergensi!$G$324;2);PANGKAT(Normalisasi!$P$20-Konvergensi!$H$324;2));0);JIKA(F289=1;JUMLAH(PANGKAT(Normalisasi!$J$20-Konvergensi!$B$325;2);PANGKAT(Normalisasi!$K$20-Konvergensi!$C$325;2);PANGKAT(Normalisasi!$L$20-Konvergensi!$D$325;2);PANGKAT(Normalisasi!$M$20-Konvergensi!$E$325;2);PANGKAT(Normalisasi!$N$20-Konvergensi!$F$325;2);PANGKAT(Normalisasi!$O$20-Konvergensi!$G$325;2);PANGKAT(Normalisasi!$P$20-Konvergensi!$H$325;2));0);JIKA(F289=2;JUMLAH(PANGKAT(Normalisasi!$J$20-Konvergensi!$B$326;2);PANGKAT(Normalisasi!$K$20-Konvergensi!$C$326;2);PANGKAT(Normalisasi!$L$20-Konvergensi!$D$326;2);PANGKAT(Normalisasi!$M$20-Konvergensi!$E$326;2);PANGKAT(Normalisasi!$N$20-Konvergensi!$F$326;2);PANGKAT(Normalisasi!$O$20-Konvergensi!$G$326;2);PANGKAT(Normalisasi!$P$20-Konvergensi!$H$326;2));0))</f>
        <v/>
      </c>
      <c r="H289" t="n">
        <v>0</v>
      </c>
      <c r="I289" t="n">
        <v>5.997685002892766</v>
      </c>
    </row>
    <row r="290">
      <c r="A290">
        <f>Data_Awal!A21</f>
        <v/>
      </c>
      <c r="B290">
        <f>Data_Awal!B21</f>
        <v/>
      </c>
      <c r="C290">
        <f>AKAR(JUMLAH(PANGKAT(Normalisasi!$J$21-Konvergensi!$B$259;2);PANGKAT(Normalisasi!$K$21-Konvergensi!$C$259;2);PANGKAT(Normalisasi!$L$21-Konvergensi!$D$259;2);PANGKAT(Normalisasi!$M$21-Konvergensi!$E$259;2);PANGKAT(Normalisasi!$N$21-Konvergensi!$F$259;2);PANGKAT(Normalisasi!$O$21-Konvergensi!$G$259;2);PANGKAT(Normalisasi!$P$21-Konvergensi!$H$259;2)))</f>
        <v/>
      </c>
      <c r="D290">
        <f>AKAR(JUMLAH(PANGKAT(Normalisasi!$J$21-Konvergensi!$B$260;2);PANGKAT(Normalisasi!$K$21-Konvergensi!$C$260;2);PANGKAT(Normalisasi!$L$21-Konvergensi!$D$260;2);PANGKAT(Normalisasi!$M$21-Konvergensi!$E$260;2);PANGKAT(Normalisasi!$N$21-Konvergensi!$F$260;2);PANGKAT(Normalisasi!$O$21-Konvergensi!$G$260;2);PANGKAT(Normalisasi!$P$21-Konvergensi!$H$260;2)))</f>
        <v/>
      </c>
      <c r="E290">
        <f>AKAR(JUMLAH(PANGKAT(Normalisasi!$J$21-Konvergensi!$B$261;2);PANGKAT(Normalisasi!$K$21-Konvergensi!$C$261;2);PANGKAT(Normalisasi!$L$21-Konvergensi!$D$261;2);PANGKAT(Normalisasi!$M$21-Konvergensi!$E$261;2);PANGKAT(Normalisasi!$N$21-Konvergensi!$F$261;2);PANGKAT(Normalisasi!$O$21-Konvergensi!$G$261;2);PANGKAT(Normalisasi!$P$21-Konvergensi!$H$261;2)))</f>
        <v/>
      </c>
      <c r="F290">
        <f>JIKA(C290&lt;=D290;=JIKA(C290&lt;=E290;0;2);=JIKA(D290&lt;=E290;1;2))</f>
        <v/>
      </c>
      <c r="G290">
        <f>JUMLAH(JIKA(F290=0;JUMLAH(PANGKAT(Normalisasi!$J$21-Konvergensi!$B$324;2);PANGKAT(Normalisasi!$K$21-Konvergensi!$C$324;2);PANGKAT(Normalisasi!$L$21-Konvergensi!$D$324;2);PANGKAT(Normalisasi!$M$21-Konvergensi!$E$324;2);PANGKAT(Normalisasi!$N$21-Konvergensi!$F$324;2);PANGKAT(Normalisasi!$O$21-Konvergensi!$G$324;2);PANGKAT(Normalisasi!$P$21-Konvergensi!$H$324;2));0);JIKA(F290=1;JUMLAH(PANGKAT(Normalisasi!$J$21-Konvergensi!$B$325;2);PANGKAT(Normalisasi!$K$21-Konvergensi!$C$325;2);PANGKAT(Normalisasi!$L$21-Konvergensi!$D$325;2);PANGKAT(Normalisasi!$M$21-Konvergensi!$E$325;2);PANGKAT(Normalisasi!$N$21-Konvergensi!$F$325;2);PANGKAT(Normalisasi!$O$21-Konvergensi!$G$325;2);PANGKAT(Normalisasi!$P$21-Konvergensi!$H$325;2));0);JIKA(F290=2;JUMLAH(PANGKAT(Normalisasi!$J$21-Konvergensi!$B$326;2);PANGKAT(Normalisasi!$K$21-Konvergensi!$C$326;2);PANGKAT(Normalisasi!$L$21-Konvergensi!$D$326;2);PANGKAT(Normalisasi!$M$21-Konvergensi!$E$326;2);PANGKAT(Normalisasi!$N$21-Konvergensi!$F$326;2);PANGKAT(Normalisasi!$O$21-Konvergensi!$G$326;2);PANGKAT(Normalisasi!$P$21-Konvergensi!$H$326;2));0))</f>
        <v/>
      </c>
      <c r="H290" t="n">
        <v>2</v>
      </c>
      <c r="I290" t="n">
        <v>5.013001761965077</v>
      </c>
    </row>
    <row r="291">
      <c r="A291">
        <f>Data_Awal!A22</f>
        <v/>
      </c>
      <c r="B291">
        <f>Data_Awal!B22</f>
        <v/>
      </c>
      <c r="C291">
        <f>AKAR(JUMLAH(PANGKAT(Normalisasi!$J$22-Konvergensi!$B$259;2);PANGKAT(Normalisasi!$K$22-Konvergensi!$C$259;2);PANGKAT(Normalisasi!$L$22-Konvergensi!$D$259;2);PANGKAT(Normalisasi!$M$22-Konvergensi!$E$259;2);PANGKAT(Normalisasi!$N$22-Konvergensi!$F$259;2);PANGKAT(Normalisasi!$O$22-Konvergensi!$G$259;2);PANGKAT(Normalisasi!$P$22-Konvergensi!$H$259;2)))</f>
        <v/>
      </c>
      <c r="D291">
        <f>AKAR(JUMLAH(PANGKAT(Normalisasi!$J$22-Konvergensi!$B$260;2);PANGKAT(Normalisasi!$K$22-Konvergensi!$C$260;2);PANGKAT(Normalisasi!$L$22-Konvergensi!$D$260;2);PANGKAT(Normalisasi!$M$22-Konvergensi!$E$260;2);PANGKAT(Normalisasi!$N$22-Konvergensi!$F$260;2);PANGKAT(Normalisasi!$O$22-Konvergensi!$G$260;2);PANGKAT(Normalisasi!$P$22-Konvergensi!$H$260;2)))</f>
        <v/>
      </c>
      <c r="E291">
        <f>AKAR(JUMLAH(PANGKAT(Normalisasi!$J$22-Konvergensi!$B$261;2);PANGKAT(Normalisasi!$K$22-Konvergensi!$C$261;2);PANGKAT(Normalisasi!$L$22-Konvergensi!$D$261;2);PANGKAT(Normalisasi!$M$22-Konvergensi!$E$261;2);PANGKAT(Normalisasi!$N$22-Konvergensi!$F$261;2);PANGKAT(Normalisasi!$O$22-Konvergensi!$G$261;2);PANGKAT(Normalisasi!$P$22-Konvergensi!$H$261;2)))</f>
        <v/>
      </c>
      <c r="F291">
        <f>JIKA(C291&lt;=D291;=JIKA(C291&lt;=E291;0;2);=JIKA(D291&lt;=E291;1;2))</f>
        <v/>
      </c>
      <c r="G291">
        <f>JUMLAH(JIKA(F291=0;JUMLAH(PANGKAT(Normalisasi!$J$22-Konvergensi!$B$324;2);PANGKAT(Normalisasi!$K$22-Konvergensi!$C$324;2);PANGKAT(Normalisasi!$L$22-Konvergensi!$D$324;2);PANGKAT(Normalisasi!$M$22-Konvergensi!$E$324;2);PANGKAT(Normalisasi!$N$22-Konvergensi!$F$324;2);PANGKAT(Normalisasi!$O$22-Konvergensi!$G$324;2);PANGKAT(Normalisasi!$P$22-Konvergensi!$H$324;2));0);JIKA(F291=1;JUMLAH(PANGKAT(Normalisasi!$J$22-Konvergensi!$B$325;2);PANGKAT(Normalisasi!$K$22-Konvergensi!$C$325;2);PANGKAT(Normalisasi!$L$22-Konvergensi!$D$325;2);PANGKAT(Normalisasi!$M$22-Konvergensi!$E$325;2);PANGKAT(Normalisasi!$N$22-Konvergensi!$F$325;2);PANGKAT(Normalisasi!$O$22-Konvergensi!$G$325;2);PANGKAT(Normalisasi!$P$22-Konvergensi!$H$325;2));0);JIKA(F291=2;JUMLAH(PANGKAT(Normalisasi!$J$22-Konvergensi!$B$326;2);PANGKAT(Normalisasi!$K$22-Konvergensi!$C$326;2);PANGKAT(Normalisasi!$L$22-Konvergensi!$D$326;2);PANGKAT(Normalisasi!$M$22-Konvergensi!$E$326;2);PANGKAT(Normalisasi!$N$22-Konvergensi!$F$326;2);PANGKAT(Normalisasi!$O$22-Konvergensi!$G$326;2);PANGKAT(Normalisasi!$P$22-Konvergensi!$H$326;2));0))</f>
        <v/>
      </c>
      <c r="H291" t="n">
        <v>0</v>
      </c>
      <c r="I291" t="n">
        <v>7.586420788932602</v>
      </c>
    </row>
    <row r="292">
      <c r="A292">
        <f>Data_Awal!A23</f>
        <v/>
      </c>
      <c r="B292">
        <f>Data_Awal!B23</f>
        <v/>
      </c>
      <c r="C292">
        <f>AKAR(JUMLAH(PANGKAT(Normalisasi!$J$23-Konvergensi!$B$259;2);PANGKAT(Normalisasi!$K$23-Konvergensi!$C$259;2);PANGKAT(Normalisasi!$L$23-Konvergensi!$D$259;2);PANGKAT(Normalisasi!$M$23-Konvergensi!$E$259;2);PANGKAT(Normalisasi!$N$23-Konvergensi!$F$259;2);PANGKAT(Normalisasi!$O$23-Konvergensi!$G$259;2);PANGKAT(Normalisasi!$P$23-Konvergensi!$H$259;2)))</f>
        <v/>
      </c>
      <c r="D292">
        <f>AKAR(JUMLAH(PANGKAT(Normalisasi!$J$23-Konvergensi!$B$260;2);PANGKAT(Normalisasi!$K$23-Konvergensi!$C$260;2);PANGKAT(Normalisasi!$L$23-Konvergensi!$D$260;2);PANGKAT(Normalisasi!$M$23-Konvergensi!$E$260;2);PANGKAT(Normalisasi!$N$23-Konvergensi!$F$260;2);PANGKAT(Normalisasi!$O$23-Konvergensi!$G$260;2);PANGKAT(Normalisasi!$P$23-Konvergensi!$H$260;2)))</f>
        <v/>
      </c>
      <c r="E292">
        <f>AKAR(JUMLAH(PANGKAT(Normalisasi!$J$23-Konvergensi!$B$261;2);PANGKAT(Normalisasi!$K$23-Konvergensi!$C$261;2);PANGKAT(Normalisasi!$L$23-Konvergensi!$D$261;2);PANGKAT(Normalisasi!$M$23-Konvergensi!$E$261;2);PANGKAT(Normalisasi!$N$23-Konvergensi!$F$261;2);PANGKAT(Normalisasi!$O$23-Konvergensi!$G$261;2);PANGKAT(Normalisasi!$P$23-Konvergensi!$H$261;2)))</f>
        <v/>
      </c>
      <c r="F292">
        <f>JIKA(C292&lt;=D292;=JIKA(C292&lt;=E292;0;2);=JIKA(D292&lt;=E292;1;2))</f>
        <v/>
      </c>
      <c r="G292">
        <f>JUMLAH(JIKA(F292=0;JUMLAH(PANGKAT(Normalisasi!$J$23-Konvergensi!$B$324;2);PANGKAT(Normalisasi!$K$23-Konvergensi!$C$324;2);PANGKAT(Normalisasi!$L$23-Konvergensi!$D$324;2);PANGKAT(Normalisasi!$M$23-Konvergensi!$E$324;2);PANGKAT(Normalisasi!$N$23-Konvergensi!$F$324;2);PANGKAT(Normalisasi!$O$23-Konvergensi!$G$324;2);PANGKAT(Normalisasi!$P$23-Konvergensi!$H$324;2));0);JIKA(F292=1;JUMLAH(PANGKAT(Normalisasi!$J$23-Konvergensi!$B$325;2);PANGKAT(Normalisasi!$K$23-Konvergensi!$C$325;2);PANGKAT(Normalisasi!$L$23-Konvergensi!$D$325;2);PANGKAT(Normalisasi!$M$23-Konvergensi!$E$325;2);PANGKAT(Normalisasi!$N$23-Konvergensi!$F$325;2);PANGKAT(Normalisasi!$O$23-Konvergensi!$G$325;2);PANGKAT(Normalisasi!$P$23-Konvergensi!$H$325;2));0);JIKA(F292=2;JUMLAH(PANGKAT(Normalisasi!$J$23-Konvergensi!$B$326;2);PANGKAT(Normalisasi!$K$23-Konvergensi!$C$326;2);PANGKAT(Normalisasi!$L$23-Konvergensi!$D$326;2);PANGKAT(Normalisasi!$M$23-Konvergensi!$E$326;2);PANGKAT(Normalisasi!$N$23-Konvergensi!$F$326;2);PANGKAT(Normalisasi!$O$23-Konvergensi!$G$326;2);PANGKAT(Normalisasi!$P$23-Konvergensi!$H$326;2));0))</f>
        <v/>
      </c>
      <c r="H292" t="n">
        <v>1</v>
      </c>
      <c r="I292" t="n">
        <v>6.268119608809372</v>
      </c>
    </row>
    <row r="293">
      <c r="A293">
        <f>Data_Awal!A24</f>
        <v/>
      </c>
      <c r="B293">
        <f>Data_Awal!B24</f>
        <v/>
      </c>
      <c r="C293">
        <f>AKAR(JUMLAH(PANGKAT(Normalisasi!$J$24-Konvergensi!$B$259;2);PANGKAT(Normalisasi!$K$24-Konvergensi!$C$259;2);PANGKAT(Normalisasi!$L$24-Konvergensi!$D$259;2);PANGKAT(Normalisasi!$M$24-Konvergensi!$E$259;2);PANGKAT(Normalisasi!$N$24-Konvergensi!$F$259;2);PANGKAT(Normalisasi!$O$24-Konvergensi!$G$259;2);PANGKAT(Normalisasi!$P$24-Konvergensi!$H$259;2)))</f>
        <v/>
      </c>
      <c r="D293">
        <f>AKAR(JUMLAH(PANGKAT(Normalisasi!$J$24-Konvergensi!$B$260;2);PANGKAT(Normalisasi!$K$24-Konvergensi!$C$260;2);PANGKAT(Normalisasi!$L$24-Konvergensi!$D$260;2);PANGKAT(Normalisasi!$M$24-Konvergensi!$E$260;2);PANGKAT(Normalisasi!$N$24-Konvergensi!$F$260;2);PANGKAT(Normalisasi!$O$24-Konvergensi!$G$260;2);PANGKAT(Normalisasi!$P$24-Konvergensi!$H$260;2)))</f>
        <v/>
      </c>
      <c r="E293">
        <f>AKAR(JUMLAH(PANGKAT(Normalisasi!$J$24-Konvergensi!$B$261;2);PANGKAT(Normalisasi!$K$24-Konvergensi!$C$261;2);PANGKAT(Normalisasi!$L$24-Konvergensi!$D$261;2);PANGKAT(Normalisasi!$M$24-Konvergensi!$E$261;2);PANGKAT(Normalisasi!$N$24-Konvergensi!$F$261;2);PANGKAT(Normalisasi!$O$24-Konvergensi!$G$261;2);PANGKAT(Normalisasi!$P$24-Konvergensi!$H$261;2)))</f>
        <v/>
      </c>
      <c r="F293">
        <f>JIKA(C293&lt;=D293;=JIKA(C293&lt;=E293;0;2);=JIKA(D293&lt;=E293;1;2))</f>
        <v/>
      </c>
      <c r="G293">
        <f>JUMLAH(JIKA(F293=0;JUMLAH(PANGKAT(Normalisasi!$J$24-Konvergensi!$B$324;2);PANGKAT(Normalisasi!$K$24-Konvergensi!$C$324;2);PANGKAT(Normalisasi!$L$24-Konvergensi!$D$324;2);PANGKAT(Normalisasi!$M$24-Konvergensi!$E$324;2);PANGKAT(Normalisasi!$N$24-Konvergensi!$F$324;2);PANGKAT(Normalisasi!$O$24-Konvergensi!$G$324;2);PANGKAT(Normalisasi!$P$24-Konvergensi!$H$324;2));0);JIKA(F293=1;JUMLAH(PANGKAT(Normalisasi!$J$24-Konvergensi!$B$325;2);PANGKAT(Normalisasi!$K$24-Konvergensi!$C$325;2);PANGKAT(Normalisasi!$L$24-Konvergensi!$D$325;2);PANGKAT(Normalisasi!$M$24-Konvergensi!$E$325;2);PANGKAT(Normalisasi!$N$24-Konvergensi!$F$325;2);PANGKAT(Normalisasi!$O$24-Konvergensi!$G$325;2);PANGKAT(Normalisasi!$P$24-Konvergensi!$H$325;2));0);JIKA(F293=2;JUMLAH(PANGKAT(Normalisasi!$J$24-Konvergensi!$B$326;2);PANGKAT(Normalisasi!$K$24-Konvergensi!$C$326;2);PANGKAT(Normalisasi!$L$24-Konvergensi!$D$326;2);PANGKAT(Normalisasi!$M$24-Konvergensi!$E$326;2);PANGKAT(Normalisasi!$N$24-Konvergensi!$F$326;2);PANGKAT(Normalisasi!$O$24-Konvergensi!$G$326;2);PANGKAT(Normalisasi!$P$24-Konvergensi!$H$326;2));0))</f>
        <v/>
      </c>
      <c r="H293" t="n">
        <v>2</v>
      </c>
      <c r="I293" t="n">
        <v>3.109677828908193</v>
      </c>
    </row>
    <row r="294">
      <c r="A294">
        <f>Data_Awal!A25</f>
        <v/>
      </c>
      <c r="B294">
        <f>Data_Awal!B25</f>
        <v/>
      </c>
      <c r="C294">
        <f>AKAR(JUMLAH(PANGKAT(Normalisasi!$J$25-Konvergensi!$B$259;2);PANGKAT(Normalisasi!$K$25-Konvergensi!$C$259;2);PANGKAT(Normalisasi!$L$25-Konvergensi!$D$259;2);PANGKAT(Normalisasi!$M$25-Konvergensi!$E$259;2);PANGKAT(Normalisasi!$N$25-Konvergensi!$F$259;2);PANGKAT(Normalisasi!$O$25-Konvergensi!$G$259;2);PANGKAT(Normalisasi!$P$25-Konvergensi!$H$259;2)))</f>
        <v/>
      </c>
      <c r="D294">
        <f>AKAR(JUMLAH(PANGKAT(Normalisasi!$J$25-Konvergensi!$B$260;2);PANGKAT(Normalisasi!$K$25-Konvergensi!$C$260;2);PANGKAT(Normalisasi!$L$25-Konvergensi!$D$260;2);PANGKAT(Normalisasi!$M$25-Konvergensi!$E$260;2);PANGKAT(Normalisasi!$N$25-Konvergensi!$F$260;2);PANGKAT(Normalisasi!$O$25-Konvergensi!$G$260;2);PANGKAT(Normalisasi!$P$25-Konvergensi!$H$260;2)))</f>
        <v/>
      </c>
      <c r="E294">
        <f>AKAR(JUMLAH(PANGKAT(Normalisasi!$J$25-Konvergensi!$B$261;2);PANGKAT(Normalisasi!$K$25-Konvergensi!$C$261;2);PANGKAT(Normalisasi!$L$25-Konvergensi!$D$261;2);PANGKAT(Normalisasi!$M$25-Konvergensi!$E$261;2);PANGKAT(Normalisasi!$N$25-Konvergensi!$F$261;2);PANGKAT(Normalisasi!$O$25-Konvergensi!$G$261;2);PANGKAT(Normalisasi!$P$25-Konvergensi!$H$261;2)))</f>
        <v/>
      </c>
      <c r="F294">
        <f>JIKA(C294&lt;=D294;=JIKA(C294&lt;=E294;0;2);=JIKA(D294&lt;=E294;1;2))</f>
        <v/>
      </c>
      <c r="G294">
        <f>JUMLAH(JIKA(F294=0;JUMLAH(PANGKAT(Normalisasi!$J$25-Konvergensi!$B$324;2);PANGKAT(Normalisasi!$K$25-Konvergensi!$C$324;2);PANGKAT(Normalisasi!$L$25-Konvergensi!$D$324;2);PANGKAT(Normalisasi!$M$25-Konvergensi!$E$324;2);PANGKAT(Normalisasi!$N$25-Konvergensi!$F$324;2);PANGKAT(Normalisasi!$O$25-Konvergensi!$G$324;2);PANGKAT(Normalisasi!$P$25-Konvergensi!$H$324;2));0);JIKA(F294=1;JUMLAH(PANGKAT(Normalisasi!$J$25-Konvergensi!$B$325;2);PANGKAT(Normalisasi!$K$25-Konvergensi!$C$325;2);PANGKAT(Normalisasi!$L$25-Konvergensi!$D$325;2);PANGKAT(Normalisasi!$M$25-Konvergensi!$E$325;2);PANGKAT(Normalisasi!$N$25-Konvergensi!$F$325;2);PANGKAT(Normalisasi!$O$25-Konvergensi!$G$325;2);PANGKAT(Normalisasi!$P$25-Konvergensi!$H$325;2));0);JIKA(F294=2;JUMLAH(PANGKAT(Normalisasi!$J$25-Konvergensi!$B$326;2);PANGKAT(Normalisasi!$K$25-Konvergensi!$C$326;2);PANGKAT(Normalisasi!$L$25-Konvergensi!$D$326;2);PANGKAT(Normalisasi!$M$25-Konvergensi!$E$326;2);PANGKAT(Normalisasi!$N$25-Konvergensi!$F$326;2);PANGKAT(Normalisasi!$O$25-Konvergensi!$G$326;2);PANGKAT(Normalisasi!$P$25-Konvergensi!$H$326;2));0))</f>
        <v/>
      </c>
      <c r="H294" t="n">
        <v>1</v>
      </c>
      <c r="I294" t="n">
        <v>3.927508727928172</v>
      </c>
    </row>
    <row r="295">
      <c r="A295">
        <f>Data_Awal!A26</f>
        <v/>
      </c>
      <c r="B295">
        <f>Data_Awal!B26</f>
        <v/>
      </c>
      <c r="C295">
        <f>AKAR(JUMLAH(PANGKAT(Normalisasi!$J$26-Konvergensi!$B$259;2);PANGKAT(Normalisasi!$K$26-Konvergensi!$C$259;2);PANGKAT(Normalisasi!$L$26-Konvergensi!$D$259;2);PANGKAT(Normalisasi!$M$26-Konvergensi!$E$259;2);PANGKAT(Normalisasi!$N$26-Konvergensi!$F$259;2);PANGKAT(Normalisasi!$O$26-Konvergensi!$G$259;2);PANGKAT(Normalisasi!$P$26-Konvergensi!$H$259;2)))</f>
        <v/>
      </c>
      <c r="D295">
        <f>AKAR(JUMLAH(PANGKAT(Normalisasi!$J$26-Konvergensi!$B$260;2);PANGKAT(Normalisasi!$K$26-Konvergensi!$C$260;2);PANGKAT(Normalisasi!$L$26-Konvergensi!$D$260;2);PANGKAT(Normalisasi!$M$26-Konvergensi!$E$260;2);PANGKAT(Normalisasi!$N$26-Konvergensi!$F$260;2);PANGKAT(Normalisasi!$O$26-Konvergensi!$G$260;2);PANGKAT(Normalisasi!$P$26-Konvergensi!$H$260;2)))</f>
        <v/>
      </c>
      <c r="E295">
        <f>AKAR(JUMLAH(PANGKAT(Normalisasi!$J$26-Konvergensi!$B$261;2);PANGKAT(Normalisasi!$K$26-Konvergensi!$C$261;2);PANGKAT(Normalisasi!$L$26-Konvergensi!$D$261;2);PANGKAT(Normalisasi!$M$26-Konvergensi!$E$261;2);PANGKAT(Normalisasi!$N$26-Konvergensi!$F$261;2);PANGKAT(Normalisasi!$O$26-Konvergensi!$G$261;2);PANGKAT(Normalisasi!$P$26-Konvergensi!$H$261;2)))</f>
        <v/>
      </c>
      <c r="F295">
        <f>JIKA(C295&lt;=D295;=JIKA(C295&lt;=E295;0;2);=JIKA(D295&lt;=E295;1;2))</f>
        <v/>
      </c>
      <c r="G295">
        <f>JUMLAH(JIKA(F295=0;JUMLAH(PANGKAT(Normalisasi!$J$26-Konvergensi!$B$324;2);PANGKAT(Normalisasi!$K$26-Konvergensi!$C$324;2);PANGKAT(Normalisasi!$L$26-Konvergensi!$D$324;2);PANGKAT(Normalisasi!$M$26-Konvergensi!$E$324;2);PANGKAT(Normalisasi!$N$26-Konvergensi!$F$324;2);PANGKAT(Normalisasi!$O$26-Konvergensi!$G$324;2);PANGKAT(Normalisasi!$P$26-Konvergensi!$H$324;2));0);JIKA(F295=1;JUMLAH(PANGKAT(Normalisasi!$J$26-Konvergensi!$B$325;2);PANGKAT(Normalisasi!$K$26-Konvergensi!$C$325;2);PANGKAT(Normalisasi!$L$26-Konvergensi!$D$325;2);PANGKAT(Normalisasi!$M$26-Konvergensi!$E$325;2);PANGKAT(Normalisasi!$N$26-Konvergensi!$F$325;2);PANGKAT(Normalisasi!$O$26-Konvergensi!$G$325;2);PANGKAT(Normalisasi!$P$26-Konvergensi!$H$325;2));0);JIKA(F295=2;JUMLAH(PANGKAT(Normalisasi!$J$26-Konvergensi!$B$326;2);PANGKAT(Normalisasi!$K$26-Konvergensi!$C$326;2);PANGKAT(Normalisasi!$L$26-Konvergensi!$D$326;2);PANGKAT(Normalisasi!$M$26-Konvergensi!$E$326;2);PANGKAT(Normalisasi!$N$26-Konvergensi!$F$326;2);PANGKAT(Normalisasi!$O$26-Konvergensi!$G$326;2);PANGKAT(Normalisasi!$P$26-Konvergensi!$H$326;2));0))</f>
        <v/>
      </c>
      <c r="H295" t="n">
        <v>2</v>
      </c>
      <c r="I295" t="n">
        <v>5.265376021771573</v>
      </c>
    </row>
    <row r="296">
      <c r="A296">
        <f>Data_Awal!A27</f>
        <v/>
      </c>
      <c r="B296">
        <f>Data_Awal!B27</f>
        <v/>
      </c>
      <c r="C296">
        <f>AKAR(JUMLAH(PANGKAT(Normalisasi!$J$27-Konvergensi!$B$259;2);PANGKAT(Normalisasi!$K$27-Konvergensi!$C$259;2);PANGKAT(Normalisasi!$L$27-Konvergensi!$D$259;2);PANGKAT(Normalisasi!$M$27-Konvergensi!$E$259;2);PANGKAT(Normalisasi!$N$27-Konvergensi!$F$259;2);PANGKAT(Normalisasi!$O$27-Konvergensi!$G$259;2);PANGKAT(Normalisasi!$P$27-Konvergensi!$H$259;2)))</f>
        <v/>
      </c>
      <c r="D296">
        <f>AKAR(JUMLAH(PANGKAT(Normalisasi!$J$27-Konvergensi!$B$260;2);PANGKAT(Normalisasi!$K$27-Konvergensi!$C$260;2);PANGKAT(Normalisasi!$L$27-Konvergensi!$D$260;2);PANGKAT(Normalisasi!$M$27-Konvergensi!$E$260;2);PANGKAT(Normalisasi!$N$27-Konvergensi!$F$260;2);PANGKAT(Normalisasi!$O$27-Konvergensi!$G$260;2);PANGKAT(Normalisasi!$P$27-Konvergensi!$H$260;2)))</f>
        <v/>
      </c>
      <c r="E296">
        <f>AKAR(JUMLAH(PANGKAT(Normalisasi!$J$27-Konvergensi!$B$261;2);PANGKAT(Normalisasi!$K$27-Konvergensi!$C$261;2);PANGKAT(Normalisasi!$L$27-Konvergensi!$D$261;2);PANGKAT(Normalisasi!$M$27-Konvergensi!$E$261;2);PANGKAT(Normalisasi!$N$27-Konvergensi!$F$261;2);PANGKAT(Normalisasi!$O$27-Konvergensi!$G$261;2);PANGKAT(Normalisasi!$P$27-Konvergensi!$H$261;2)))</f>
        <v/>
      </c>
      <c r="F296">
        <f>JIKA(C296&lt;=D296;=JIKA(C296&lt;=E296;0;2);=JIKA(D296&lt;=E296;1;2))</f>
        <v/>
      </c>
      <c r="G296">
        <f>JUMLAH(JIKA(F296=0;JUMLAH(PANGKAT(Normalisasi!$J$27-Konvergensi!$B$324;2);PANGKAT(Normalisasi!$K$27-Konvergensi!$C$324;2);PANGKAT(Normalisasi!$L$27-Konvergensi!$D$324;2);PANGKAT(Normalisasi!$M$27-Konvergensi!$E$324;2);PANGKAT(Normalisasi!$N$27-Konvergensi!$F$324;2);PANGKAT(Normalisasi!$O$27-Konvergensi!$G$324;2);PANGKAT(Normalisasi!$P$27-Konvergensi!$H$324;2));0);JIKA(F296=1;JUMLAH(PANGKAT(Normalisasi!$J$27-Konvergensi!$B$325;2);PANGKAT(Normalisasi!$K$27-Konvergensi!$C$325;2);PANGKAT(Normalisasi!$L$27-Konvergensi!$D$325;2);PANGKAT(Normalisasi!$M$27-Konvergensi!$E$325;2);PANGKAT(Normalisasi!$N$27-Konvergensi!$F$325;2);PANGKAT(Normalisasi!$O$27-Konvergensi!$G$325;2);PANGKAT(Normalisasi!$P$27-Konvergensi!$H$325;2));0);JIKA(F296=2;JUMLAH(PANGKAT(Normalisasi!$J$27-Konvergensi!$B$326;2);PANGKAT(Normalisasi!$K$27-Konvergensi!$C$326;2);PANGKAT(Normalisasi!$L$27-Konvergensi!$D$326;2);PANGKAT(Normalisasi!$M$27-Konvergensi!$E$326;2);PANGKAT(Normalisasi!$N$27-Konvergensi!$F$326;2);PANGKAT(Normalisasi!$O$27-Konvergensi!$G$326;2);PANGKAT(Normalisasi!$P$27-Konvergensi!$H$326;2));0))</f>
        <v/>
      </c>
      <c r="H296" t="n">
        <v>0</v>
      </c>
      <c r="I296" t="n">
        <v>1.667201950426356</v>
      </c>
    </row>
    <row r="297">
      <c r="A297">
        <f>Data_Awal!A28</f>
        <v/>
      </c>
      <c r="B297">
        <f>Data_Awal!B28</f>
        <v/>
      </c>
      <c r="C297">
        <f>AKAR(JUMLAH(PANGKAT(Normalisasi!$J$28-Konvergensi!$B$259;2);PANGKAT(Normalisasi!$K$28-Konvergensi!$C$259;2);PANGKAT(Normalisasi!$L$28-Konvergensi!$D$259;2);PANGKAT(Normalisasi!$M$28-Konvergensi!$E$259;2);PANGKAT(Normalisasi!$N$28-Konvergensi!$F$259;2);PANGKAT(Normalisasi!$O$28-Konvergensi!$G$259;2);PANGKAT(Normalisasi!$P$28-Konvergensi!$H$259;2)))</f>
        <v/>
      </c>
      <c r="D297">
        <f>AKAR(JUMLAH(PANGKAT(Normalisasi!$J$28-Konvergensi!$B$260;2);PANGKAT(Normalisasi!$K$28-Konvergensi!$C$260;2);PANGKAT(Normalisasi!$L$28-Konvergensi!$D$260;2);PANGKAT(Normalisasi!$M$28-Konvergensi!$E$260;2);PANGKAT(Normalisasi!$N$28-Konvergensi!$F$260;2);PANGKAT(Normalisasi!$O$28-Konvergensi!$G$260;2);PANGKAT(Normalisasi!$P$28-Konvergensi!$H$260;2)))</f>
        <v/>
      </c>
      <c r="E297">
        <f>AKAR(JUMLAH(PANGKAT(Normalisasi!$J$28-Konvergensi!$B$261;2);PANGKAT(Normalisasi!$K$28-Konvergensi!$C$261;2);PANGKAT(Normalisasi!$L$28-Konvergensi!$D$261;2);PANGKAT(Normalisasi!$M$28-Konvergensi!$E$261;2);PANGKAT(Normalisasi!$N$28-Konvergensi!$F$261;2);PANGKAT(Normalisasi!$O$28-Konvergensi!$G$261;2);PANGKAT(Normalisasi!$P$28-Konvergensi!$H$261;2)))</f>
        <v/>
      </c>
      <c r="F297">
        <f>JIKA(C297&lt;=D297;=JIKA(C297&lt;=E297;0;2);=JIKA(D297&lt;=E297;1;2))</f>
        <v/>
      </c>
      <c r="G297">
        <f>JUMLAH(JIKA(F297=0;JUMLAH(PANGKAT(Normalisasi!$J$28-Konvergensi!$B$324;2);PANGKAT(Normalisasi!$K$28-Konvergensi!$C$324;2);PANGKAT(Normalisasi!$L$28-Konvergensi!$D$324;2);PANGKAT(Normalisasi!$M$28-Konvergensi!$E$324;2);PANGKAT(Normalisasi!$N$28-Konvergensi!$F$324;2);PANGKAT(Normalisasi!$O$28-Konvergensi!$G$324;2);PANGKAT(Normalisasi!$P$28-Konvergensi!$H$324;2));0);JIKA(F297=1;JUMLAH(PANGKAT(Normalisasi!$J$28-Konvergensi!$B$325;2);PANGKAT(Normalisasi!$K$28-Konvergensi!$C$325;2);PANGKAT(Normalisasi!$L$28-Konvergensi!$D$325;2);PANGKAT(Normalisasi!$M$28-Konvergensi!$E$325;2);PANGKAT(Normalisasi!$N$28-Konvergensi!$F$325;2);PANGKAT(Normalisasi!$O$28-Konvergensi!$G$325;2);PANGKAT(Normalisasi!$P$28-Konvergensi!$H$325;2));0);JIKA(F297=2;JUMLAH(PANGKAT(Normalisasi!$J$28-Konvergensi!$B$326;2);PANGKAT(Normalisasi!$K$28-Konvergensi!$C$326;2);PANGKAT(Normalisasi!$L$28-Konvergensi!$D$326;2);PANGKAT(Normalisasi!$M$28-Konvergensi!$E$326;2);PANGKAT(Normalisasi!$N$28-Konvergensi!$F$326;2);PANGKAT(Normalisasi!$O$28-Konvergensi!$G$326;2);PANGKAT(Normalisasi!$P$28-Konvergensi!$H$326;2));0))</f>
        <v/>
      </c>
      <c r="H297" t="n">
        <v>0</v>
      </c>
      <c r="I297" t="n">
        <v>12.19510470527614</v>
      </c>
    </row>
    <row r="298">
      <c r="A298">
        <f>Data_Awal!A29</f>
        <v/>
      </c>
      <c r="B298">
        <f>Data_Awal!B29</f>
        <v/>
      </c>
      <c r="C298">
        <f>AKAR(JUMLAH(PANGKAT(Normalisasi!$J$29-Konvergensi!$B$259;2);PANGKAT(Normalisasi!$K$29-Konvergensi!$C$259;2);PANGKAT(Normalisasi!$L$29-Konvergensi!$D$259;2);PANGKAT(Normalisasi!$M$29-Konvergensi!$E$259;2);PANGKAT(Normalisasi!$N$29-Konvergensi!$F$259;2);PANGKAT(Normalisasi!$O$29-Konvergensi!$G$259;2);PANGKAT(Normalisasi!$P$29-Konvergensi!$H$259;2)))</f>
        <v/>
      </c>
      <c r="D298">
        <f>AKAR(JUMLAH(PANGKAT(Normalisasi!$J$29-Konvergensi!$B$260;2);PANGKAT(Normalisasi!$K$29-Konvergensi!$C$260;2);PANGKAT(Normalisasi!$L$29-Konvergensi!$D$260;2);PANGKAT(Normalisasi!$M$29-Konvergensi!$E$260;2);PANGKAT(Normalisasi!$N$29-Konvergensi!$F$260;2);PANGKAT(Normalisasi!$O$29-Konvergensi!$G$260;2);PANGKAT(Normalisasi!$P$29-Konvergensi!$H$260;2)))</f>
        <v/>
      </c>
      <c r="E298">
        <f>AKAR(JUMLAH(PANGKAT(Normalisasi!$J$29-Konvergensi!$B$261;2);PANGKAT(Normalisasi!$K$29-Konvergensi!$C$261;2);PANGKAT(Normalisasi!$L$29-Konvergensi!$D$261;2);PANGKAT(Normalisasi!$M$29-Konvergensi!$E$261;2);PANGKAT(Normalisasi!$N$29-Konvergensi!$F$261;2);PANGKAT(Normalisasi!$O$29-Konvergensi!$G$261;2);PANGKAT(Normalisasi!$P$29-Konvergensi!$H$261;2)))</f>
        <v/>
      </c>
      <c r="F298">
        <f>JIKA(C298&lt;=D298;=JIKA(C298&lt;=E298;0;2);=JIKA(D298&lt;=E298;1;2))</f>
        <v/>
      </c>
      <c r="G298">
        <f>JUMLAH(JIKA(F298=0;JUMLAH(PANGKAT(Normalisasi!$J$29-Konvergensi!$B$324;2);PANGKAT(Normalisasi!$K$29-Konvergensi!$C$324;2);PANGKAT(Normalisasi!$L$29-Konvergensi!$D$324;2);PANGKAT(Normalisasi!$M$29-Konvergensi!$E$324;2);PANGKAT(Normalisasi!$N$29-Konvergensi!$F$324;2);PANGKAT(Normalisasi!$O$29-Konvergensi!$G$324;2);PANGKAT(Normalisasi!$P$29-Konvergensi!$H$324;2));0);JIKA(F298=1;JUMLAH(PANGKAT(Normalisasi!$J$29-Konvergensi!$B$325;2);PANGKAT(Normalisasi!$K$29-Konvergensi!$C$325;2);PANGKAT(Normalisasi!$L$29-Konvergensi!$D$325;2);PANGKAT(Normalisasi!$M$29-Konvergensi!$E$325;2);PANGKAT(Normalisasi!$N$29-Konvergensi!$F$325;2);PANGKAT(Normalisasi!$O$29-Konvergensi!$G$325;2);PANGKAT(Normalisasi!$P$29-Konvergensi!$H$325;2));0);JIKA(F298=2;JUMLAH(PANGKAT(Normalisasi!$J$29-Konvergensi!$B$326;2);PANGKAT(Normalisasi!$K$29-Konvergensi!$C$326;2);PANGKAT(Normalisasi!$L$29-Konvergensi!$D$326;2);PANGKAT(Normalisasi!$M$29-Konvergensi!$E$326;2);PANGKAT(Normalisasi!$N$29-Konvergensi!$F$326;2);PANGKAT(Normalisasi!$O$29-Konvergensi!$G$326;2);PANGKAT(Normalisasi!$P$29-Konvergensi!$H$326;2));0))</f>
        <v/>
      </c>
      <c r="H298" t="n">
        <v>0</v>
      </c>
      <c r="I298" t="n">
        <v>5.842042318775895</v>
      </c>
    </row>
    <row r="299">
      <c r="A299">
        <f>Data_Awal!A30</f>
        <v/>
      </c>
      <c r="B299">
        <f>Data_Awal!B30</f>
        <v/>
      </c>
      <c r="C299">
        <f>AKAR(JUMLAH(PANGKAT(Normalisasi!$J$30-Konvergensi!$B$259;2);PANGKAT(Normalisasi!$K$30-Konvergensi!$C$259;2);PANGKAT(Normalisasi!$L$30-Konvergensi!$D$259;2);PANGKAT(Normalisasi!$M$30-Konvergensi!$E$259;2);PANGKAT(Normalisasi!$N$30-Konvergensi!$F$259;2);PANGKAT(Normalisasi!$O$30-Konvergensi!$G$259;2);PANGKAT(Normalisasi!$P$30-Konvergensi!$H$259;2)))</f>
        <v/>
      </c>
      <c r="D299">
        <f>AKAR(JUMLAH(PANGKAT(Normalisasi!$J$30-Konvergensi!$B$260;2);PANGKAT(Normalisasi!$K$30-Konvergensi!$C$260;2);PANGKAT(Normalisasi!$L$30-Konvergensi!$D$260;2);PANGKAT(Normalisasi!$M$30-Konvergensi!$E$260;2);PANGKAT(Normalisasi!$N$30-Konvergensi!$F$260;2);PANGKAT(Normalisasi!$O$30-Konvergensi!$G$260;2);PANGKAT(Normalisasi!$P$30-Konvergensi!$H$260;2)))</f>
        <v/>
      </c>
      <c r="E299">
        <f>AKAR(JUMLAH(PANGKAT(Normalisasi!$J$30-Konvergensi!$B$261;2);PANGKAT(Normalisasi!$K$30-Konvergensi!$C$261;2);PANGKAT(Normalisasi!$L$30-Konvergensi!$D$261;2);PANGKAT(Normalisasi!$M$30-Konvergensi!$E$261;2);PANGKAT(Normalisasi!$N$30-Konvergensi!$F$261;2);PANGKAT(Normalisasi!$O$30-Konvergensi!$G$261;2);PANGKAT(Normalisasi!$P$30-Konvergensi!$H$261;2)))</f>
        <v/>
      </c>
      <c r="F299">
        <f>JIKA(C299&lt;=D299;=JIKA(C299&lt;=E299;0;2);=JIKA(D299&lt;=E299;1;2))</f>
        <v/>
      </c>
      <c r="G299">
        <f>JUMLAH(JIKA(F299=0;JUMLAH(PANGKAT(Normalisasi!$J$30-Konvergensi!$B$324;2);PANGKAT(Normalisasi!$K$30-Konvergensi!$C$324;2);PANGKAT(Normalisasi!$L$30-Konvergensi!$D$324;2);PANGKAT(Normalisasi!$M$30-Konvergensi!$E$324;2);PANGKAT(Normalisasi!$N$30-Konvergensi!$F$324;2);PANGKAT(Normalisasi!$O$30-Konvergensi!$G$324;2);PANGKAT(Normalisasi!$P$30-Konvergensi!$H$324;2));0);JIKA(F299=1;JUMLAH(PANGKAT(Normalisasi!$J$30-Konvergensi!$B$325;2);PANGKAT(Normalisasi!$K$30-Konvergensi!$C$325;2);PANGKAT(Normalisasi!$L$30-Konvergensi!$D$325;2);PANGKAT(Normalisasi!$M$30-Konvergensi!$E$325;2);PANGKAT(Normalisasi!$N$30-Konvergensi!$F$325;2);PANGKAT(Normalisasi!$O$30-Konvergensi!$G$325;2);PANGKAT(Normalisasi!$P$30-Konvergensi!$H$325;2));0);JIKA(F299=2;JUMLAH(PANGKAT(Normalisasi!$J$30-Konvergensi!$B$326;2);PANGKAT(Normalisasi!$K$30-Konvergensi!$C$326;2);PANGKAT(Normalisasi!$L$30-Konvergensi!$D$326;2);PANGKAT(Normalisasi!$M$30-Konvergensi!$E$326;2);PANGKAT(Normalisasi!$N$30-Konvergensi!$F$326;2);PANGKAT(Normalisasi!$O$30-Konvergensi!$G$326;2);PANGKAT(Normalisasi!$P$30-Konvergensi!$H$326;2));0))</f>
        <v/>
      </c>
      <c r="H299" t="n">
        <v>0</v>
      </c>
      <c r="I299" t="n">
        <v>6.892250822782261</v>
      </c>
    </row>
    <row r="300">
      <c r="A300">
        <f>Data_Awal!A31</f>
        <v/>
      </c>
      <c r="B300">
        <f>Data_Awal!B31</f>
        <v/>
      </c>
      <c r="C300">
        <f>AKAR(JUMLAH(PANGKAT(Normalisasi!$J$31-Konvergensi!$B$259;2);PANGKAT(Normalisasi!$K$31-Konvergensi!$C$259;2);PANGKAT(Normalisasi!$L$31-Konvergensi!$D$259;2);PANGKAT(Normalisasi!$M$31-Konvergensi!$E$259;2);PANGKAT(Normalisasi!$N$31-Konvergensi!$F$259;2);PANGKAT(Normalisasi!$O$31-Konvergensi!$G$259;2);PANGKAT(Normalisasi!$P$31-Konvergensi!$H$259;2)))</f>
        <v/>
      </c>
      <c r="D300">
        <f>AKAR(JUMLAH(PANGKAT(Normalisasi!$J$31-Konvergensi!$B$260;2);PANGKAT(Normalisasi!$K$31-Konvergensi!$C$260;2);PANGKAT(Normalisasi!$L$31-Konvergensi!$D$260;2);PANGKAT(Normalisasi!$M$31-Konvergensi!$E$260;2);PANGKAT(Normalisasi!$N$31-Konvergensi!$F$260;2);PANGKAT(Normalisasi!$O$31-Konvergensi!$G$260;2);PANGKAT(Normalisasi!$P$31-Konvergensi!$H$260;2)))</f>
        <v/>
      </c>
      <c r="E300">
        <f>AKAR(JUMLAH(PANGKAT(Normalisasi!$J$31-Konvergensi!$B$261;2);PANGKAT(Normalisasi!$K$31-Konvergensi!$C$261;2);PANGKAT(Normalisasi!$L$31-Konvergensi!$D$261;2);PANGKAT(Normalisasi!$M$31-Konvergensi!$E$261;2);PANGKAT(Normalisasi!$N$31-Konvergensi!$F$261;2);PANGKAT(Normalisasi!$O$31-Konvergensi!$G$261;2);PANGKAT(Normalisasi!$P$31-Konvergensi!$H$261;2)))</f>
        <v/>
      </c>
      <c r="F300">
        <f>JIKA(C300&lt;=D300;=JIKA(C300&lt;=E300;0;2);=JIKA(D300&lt;=E300;1;2))</f>
        <v/>
      </c>
      <c r="G300">
        <f>JUMLAH(JIKA(F300=0;JUMLAH(PANGKAT(Normalisasi!$J$31-Konvergensi!$B$324;2);PANGKAT(Normalisasi!$K$31-Konvergensi!$C$324;2);PANGKAT(Normalisasi!$L$31-Konvergensi!$D$324;2);PANGKAT(Normalisasi!$M$31-Konvergensi!$E$324;2);PANGKAT(Normalisasi!$N$31-Konvergensi!$F$324;2);PANGKAT(Normalisasi!$O$31-Konvergensi!$G$324;2);PANGKAT(Normalisasi!$P$31-Konvergensi!$H$324;2));0);JIKA(F300=1;JUMLAH(PANGKAT(Normalisasi!$J$31-Konvergensi!$B$325;2);PANGKAT(Normalisasi!$K$31-Konvergensi!$C$325;2);PANGKAT(Normalisasi!$L$31-Konvergensi!$D$325;2);PANGKAT(Normalisasi!$M$31-Konvergensi!$E$325;2);PANGKAT(Normalisasi!$N$31-Konvergensi!$F$325;2);PANGKAT(Normalisasi!$O$31-Konvergensi!$G$325;2);PANGKAT(Normalisasi!$P$31-Konvergensi!$H$325;2));0);JIKA(F300=2;JUMLAH(PANGKAT(Normalisasi!$J$31-Konvergensi!$B$326;2);PANGKAT(Normalisasi!$K$31-Konvergensi!$C$326;2);PANGKAT(Normalisasi!$L$31-Konvergensi!$D$326;2);PANGKAT(Normalisasi!$M$31-Konvergensi!$E$326;2);PANGKAT(Normalisasi!$N$31-Konvergensi!$F$326;2);PANGKAT(Normalisasi!$O$31-Konvergensi!$G$326;2);PANGKAT(Normalisasi!$P$31-Konvergensi!$H$326;2));0))</f>
        <v/>
      </c>
      <c r="H300" t="n">
        <v>0</v>
      </c>
      <c r="I300" t="n">
        <v>7.241330676793687</v>
      </c>
    </row>
    <row r="301">
      <c r="A301">
        <f>Data_Awal!A32</f>
        <v/>
      </c>
      <c r="B301">
        <f>Data_Awal!B32</f>
        <v/>
      </c>
      <c r="C301">
        <f>AKAR(JUMLAH(PANGKAT(Normalisasi!$J$32-Konvergensi!$B$259;2);PANGKAT(Normalisasi!$K$32-Konvergensi!$C$259;2);PANGKAT(Normalisasi!$L$32-Konvergensi!$D$259;2);PANGKAT(Normalisasi!$M$32-Konvergensi!$E$259;2);PANGKAT(Normalisasi!$N$32-Konvergensi!$F$259;2);PANGKAT(Normalisasi!$O$32-Konvergensi!$G$259;2);PANGKAT(Normalisasi!$P$32-Konvergensi!$H$259;2)))</f>
        <v/>
      </c>
      <c r="D301">
        <f>AKAR(JUMLAH(PANGKAT(Normalisasi!$J$32-Konvergensi!$B$260;2);PANGKAT(Normalisasi!$K$32-Konvergensi!$C$260;2);PANGKAT(Normalisasi!$L$32-Konvergensi!$D$260;2);PANGKAT(Normalisasi!$M$32-Konvergensi!$E$260;2);PANGKAT(Normalisasi!$N$32-Konvergensi!$F$260;2);PANGKAT(Normalisasi!$O$32-Konvergensi!$G$260;2);PANGKAT(Normalisasi!$P$32-Konvergensi!$H$260;2)))</f>
        <v/>
      </c>
      <c r="E301">
        <f>AKAR(JUMLAH(PANGKAT(Normalisasi!$J$32-Konvergensi!$B$261;2);PANGKAT(Normalisasi!$K$32-Konvergensi!$C$261;2);PANGKAT(Normalisasi!$L$32-Konvergensi!$D$261;2);PANGKAT(Normalisasi!$M$32-Konvergensi!$E$261;2);PANGKAT(Normalisasi!$N$32-Konvergensi!$F$261;2);PANGKAT(Normalisasi!$O$32-Konvergensi!$G$261;2);PANGKAT(Normalisasi!$P$32-Konvergensi!$H$261;2)))</f>
        <v/>
      </c>
      <c r="F301">
        <f>JIKA(C301&lt;=D301;=JIKA(C301&lt;=E301;0;2);=JIKA(D301&lt;=E301;1;2))</f>
        <v/>
      </c>
      <c r="G301">
        <f>JUMLAH(JIKA(F301=0;JUMLAH(PANGKAT(Normalisasi!$J$32-Konvergensi!$B$324;2);PANGKAT(Normalisasi!$K$32-Konvergensi!$C$324;2);PANGKAT(Normalisasi!$L$32-Konvergensi!$D$324;2);PANGKAT(Normalisasi!$M$32-Konvergensi!$E$324;2);PANGKAT(Normalisasi!$N$32-Konvergensi!$F$324;2);PANGKAT(Normalisasi!$O$32-Konvergensi!$G$324;2);PANGKAT(Normalisasi!$P$32-Konvergensi!$H$324;2));0);JIKA(F301=1;JUMLAH(PANGKAT(Normalisasi!$J$32-Konvergensi!$B$325;2);PANGKAT(Normalisasi!$K$32-Konvergensi!$C$325;2);PANGKAT(Normalisasi!$L$32-Konvergensi!$D$325;2);PANGKAT(Normalisasi!$M$32-Konvergensi!$E$325;2);PANGKAT(Normalisasi!$N$32-Konvergensi!$F$325;2);PANGKAT(Normalisasi!$O$32-Konvergensi!$G$325;2);PANGKAT(Normalisasi!$P$32-Konvergensi!$H$325;2));0);JIKA(F301=2;JUMLAH(PANGKAT(Normalisasi!$J$32-Konvergensi!$B$326;2);PANGKAT(Normalisasi!$K$32-Konvergensi!$C$326;2);PANGKAT(Normalisasi!$L$32-Konvergensi!$D$326;2);PANGKAT(Normalisasi!$M$32-Konvergensi!$E$326;2);PANGKAT(Normalisasi!$N$32-Konvergensi!$F$326;2);PANGKAT(Normalisasi!$O$32-Konvergensi!$G$326;2);PANGKAT(Normalisasi!$P$32-Konvergensi!$H$326;2));0))</f>
        <v/>
      </c>
      <c r="H301" t="n">
        <v>0</v>
      </c>
      <c r="I301" t="n">
        <v>4.923018034560199</v>
      </c>
    </row>
    <row r="302">
      <c r="A302">
        <f>Data_Awal!A33</f>
        <v/>
      </c>
      <c r="B302">
        <f>Data_Awal!B33</f>
        <v/>
      </c>
      <c r="C302">
        <f>AKAR(JUMLAH(PANGKAT(Normalisasi!$J$33-Konvergensi!$B$259;2);PANGKAT(Normalisasi!$K$33-Konvergensi!$C$259;2);PANGKAT(Normalisasi!$L$33-Konvergensi!$D$259;2);PANGKAT(Normalisasi!$M$33-Konvergensi!$E$259;2);PANGKAT(Normalisasi!$N$33-Konvergensi!$F$259;2);PANGKAT(Normalisasi!$O$33-Konvergensi!$G$259;2);PANGKAT(Normalisasi!$P$33-Konvergensi!$H$259;2)))</f>
        <v/>
      </c>
      <c r="D302">
        <f>AKAR(JUMLAH(PANGKAT(Normalisasi!$J$33-Konvergensi!$B$260;2);PANGKAT(Normalisasi!$K$33-Konvergensi!$C$260;2);PANGKAT(Normalisasi!$L$33-Konvergensi!$D$260;2);PANGKAT(Normalisasi!$M$33-Konvergensi!$E$260;2);PANGKAT(Normalisasi!$N$33-Konvergensi!$F$260;2);PANGKAT(Normalisasi!$O$33-Konvergensi!$G$260;2);PANGKAT(Normalisasi!$P$33-Konvergensi!$H$260;2)))</f>
        <v/>
      </c>
      <c r="E302">
        <f>AKAR(JUMLAH(PANGKAT(Normalisasi!$J$33-Konvergensi!$B$261;2);PANGKAT(Normalisasi!$K$33-Konvergensi!$C$261;2);PANGKAT(Normalisasi!$L$33-Konvergensi!$D$261;2);PANGKAT(Normalisasi!$M$33-Konvergensi!$E$261;2);PANGKAT(Normalisasi!$N$33-Konvergensi!$F$261;2);PANGKAT(Normalisasi!$O$33-Konvergensi!$G$261;2);PANGKAT(Normalisasi!$P$33-Konvergensi!$H$261;2)))</f>
        <v/>
      </c>
      <c r="F302">
        <f>JIKA(C302&lt;=D302;=JIKA(C302&lt;=E302;0;2);=JIKA(D302&lt;=E302;1;2))</f>
        <v/>
      </c>
      <c r="G302">
        <f>JUMLAH(JIKA(F302=0;JUMLAH(PANGKAT(Normalisasi!$J$33-Konvergensi!$B$324;2);PANGKAT(Normalisasi!$K$33-Konvergensi!$C$324;2);PANGKAT(Normalisasi!$L$33-Konvergensi!$D$324;2);PANGKAT(Normalisasi!$M$33-Konvergensi!$E$324;2);PANGKAT(Normalisasi!$N$33-Konvergensi!$F$324;2);PANGKAT(Normalisasi!$O$33-Konvergensi!$G$324;2);PANGKAT(Normalisasi!$P$33-Konvergensi!$H$324;2));0);JIKA(F302=1;JUMLAH(PANGKAT(Normalisasi!$J$33-Konvergensi!$B$325;2);PANGKAT(Normalisasi!$K$33-Konvergensi!$C$325;2);PANGKAT(Normalisasi!$L$33-Konvergensi!$D$325;2);PANGKAT(Normalisasi!$M$33-Konvergensi!$E$325;2);PANGKAT(Normalisasi!$N$33-Konvergensi!$F$325;2);PANGKAT(Normalisasi!$O$33-Konvergensi!$G$325;2);PANGKAT(Normalisasi!$P$33-Konvergensi!$H$325;2));0);JIKA(F302=2;JUMLAH(PANGKAT(Normalisasi!$J$33-Konvergensi!$B$326;2);PANGKAT(Normalisasi!$K$33-Konvergensi!$C$326;2);PANGKAT(Normalisasi!$L$33-Konvergensi!$D$326;2);PANGKAT(Normalisasi!$M$33-Konvergensi!$E$326;2);PANGKAT(Normalisasi!$N$33-Konvergensi!$F$326;2);PANGKAT(Normalisasi!$O$33-Konvergensi!$G$326;2);PANGKAT(Normalisasi!$P$33-Konvergensi!$H$326;2));0))</f>
        <v/>
      </c>
      <c r="H302" t="n">
        <v>0</v>
      </c>
      <c r="I302" t="n">
        <v>7.413683264839167</v>
      </c>
    </row>
    <row r="303">
      <c r="A303">
        <f>Data_Awal!A34</f>
        <v/>
      </c>
      <c r="B303">
        <f>Data_Awal!B34</f>
        <v/>
      </c>
      <c r="C303">
        <f>AKAR(JUMLAH(PANGKAT(Normalisasi!$J$34-Konvergensi!$B$259;2);PANGKAT(Normalisasi!$K$34-Konvergensi!$C$259;2);PANGKAT(Normalisasi!$L$34-Konvergensi!$D$259;2);PANGKAT(Normalisasi!$M$34-Konvergensi!$E$259;2);PANGKAT(Normalisasi!$N$34-Konvergensi!$F$259;2);PANGKAT(Normalisasi!$O$34-Konvergensi!$G$259;2);PANGKAT(Normalisasi!$P$34-Konvergensi!$H$259;2)))</f>
        <v/>
      </c>
      <c r="D303">
        <f>AKAR(JUMLAH(PANGKAT(Normalisasi!$J$34-Konvergensi!$B$260;2);PANGKAT(Normalisasi!$K$34-Konvergensi!$C$260;2);PANGKAT(Normalisasi!$L$34-Konvergensi!$D$260;2);PANGKAT(Normalisasi!$M$34-Konvergensi!$E$260;2);PANGKAT(Normalisasi!$N$34-Konvergensi!$F$260;2);PANGKAT(Normalisasi!$O$34-Konvergensi!$G$260;2);PANGKAT(Normalisasi!$P$34-Konvergensi!$H$260;2)))</f>
        <v/>
      </c>
      <c r="E303">
        <f>AKAR(JUMLAH(PANGKAT(Normalisasi!$J$34-Konvergensi!$B$261;2);PANGKAT(Normalisasi!$K$34-Konvergensi!$C$261;2);PANGKAT(Normalisasi!$L$34-Konvergensi!$D$261;2);PANGKAT(Normalisasi!$M$34-Konvergensi!$E$261;2);PANGKAT(Normalisasi!$N$34-Konvergensi!$F$261;2);PANGKAT(Normalisasi!$O$34-Konvergensi!$G$261;2);PANGKAT(Normalisasi!$P$34-Konvergensi!$H$261;2)))</f>
        <v/>
      </c>
      <c r="F303">
        <f>JIKA(C303&lt;=D303;=JIKA(C303&lt;=E303;0;2);=JIKA(D303&lt;=E303;1;2))</f>
        <v/>
      </c>
      <c r="G303">
        <f>JUMLAH(JIKA(F303=0;JUMLAH(PANGKAT(Normalisasi!$J$34-Konvergensi!$B$324;2);PANGKAT(Normalisasi!$K$34-Konvergensi!$C$324;2);PANGKAT(Normalisasi!$L$34-Konvergensi!$D$324;2);PANGKAT(Normalisasi!$M$34-Konvergensi!$E$324;2);PANGKAT(Normalisasi!$N$34-Konvergensi!$F$324;2);PANGKAT(Normalisasi!$O$34-Konvergensi!$G$324;2);PANGKAT(Normalisasi!$P$34-Konvergensi!$H$324;2));0);JIKA(F303=1;JUMLAH(PANGKAT(Normalisasi!$J$34-Konvergensi!$B$325;2);PANGKAT(Normalisasi!$K$34-Konvergensi!$C$325;2);PANGKAT(Normalisasi!$L$34-Konvergensi!$D$325;2);PANGKAT(Normalisasi!$M$34-Konvergensi!$E$325;2);PANGKAT(Normalisasi!$N$34-Konvergensi!$F$325;2);PANGKAT(Normalisasi!$O$34-Konvergensi!$G$325;2);PANGKAT(Normalisasi!$P$34-Konvergensi!$H$325;2));0);JIKA(F303=2;JUMLAH(PANGKAT(Normalisasi!$J$34-Konvergensi!$B$326;2);PANGKAT(Normalisasi!$K$34-Konvergensi!$C$326;2);PANGKAT(Normalisasi!$L$34-Konvergensi!$D$326;2);PANGKAT(Normalisasi!$M$34-Konvergensi!$E$326;2);PANGKAT(Normalisasi!$N$34-Konvergensi!$F$326;2);PANGKAT(Normalisasi!$O$34-Konvergensi!$G$326;2);PANGKAT(Normalisasi!$P$34-Konvergensi!$H$326;2));0))</f>
        <v/>
      </c>
      <c r="H303" t="n">
        <v>1</v>
      </c>
      <c r="I303" t="n">
        <v>1.796962155428233</v>
      </c>
    </row>
    <row r="304">
      <c r="A304">
        <f>Data_Awal!A35</f>
        <v/>
      </c>
      <c r="B304">
        <f>Data_Awal!B35</f>
        <v/>
      </c>
      <c r="C304">
        <f>AKAR(JUMLAH(PANGKAT(Normalisasi!$J$35-Konvergensi!$B$259;2);PANGKAT(Normalisasi!$K$35-Konvergensi!$C$259;2);PANGKAT(Normalisasi!$L$35-Konvergensi!$D$259;2);PANGKAT(Normalisasi!$M$35-Konvergensi!$E$259;2);PANGKAT(Normalisasi!$N$35-Konvergensi!$F$259;2);PANGKAT(Normalisasi!$O$35-Konvergensi!$G$259;2);PANGKAT(Normalisasi!$P$35-Konvergensi!$H$259;2)))</f>
        <v/>
      </c>
      <c r="D304">
        <f>AKAR(JUMLAH(PANGKAT(Normalisasi!$J$35-Konvergensi!$B$260;2);PANGKAT(Normalisasi!$K$35-Konvergensi!$C$260;2);PANGKAT(Normalisasi!$L$35-Konvergensi!$D$260;2);PANGKAT(Normalisasi!$M$35-Konvergensi!$E$260;2);PANGKAT(Normalisasi!$N$35-Konvergensi!$F$260;2);PANGKAT(Normalisasi!$O$35-Konvergensi!$G$260;2);PANGKAT(Normalisasi!$P$35-Konvergensi!$H$260;2)))</f>
        <v/>
      </c>
      <c r="E304">
        <f>AKAR(JUMLAH(PANGKAT(Normalisasi!$J$35-Konvergensi!$B$261;2);PANGKAT(Normalisasi!$K$35-Konvergensi!$C$261;2);PANGKAT(Normalisasi!$L$35-Konvergensi!$D$261;2);PANGKAT(Normalisasi!$M$35-Konvergensi!$E$261;2);PANGKAT(Normalisasi!$N$35-Konvergensi!$F$261;2);PANGKAT(Normalisasi!$O$35-Konvergensi!$G$261;2);PANGKAT(Normalisasi!$P$35-Konvergensi!$H$261;2)))</f>
        <v/>
      </c>
      <c r="F304">
        <f>JIKA(C304&lt;=D304;=JIKA(C304&lt;=E304;0;2);=JIKA(D304&lt;=E304;1;2))</f>
        <v/>
      </c>
      <c r="G304">
        <f>JUMLAH(JIKA(F304=0;JUMLAH(PANGKAT(Normalisasi!$J$35-Konvergensi!$B$324;2);PANGKAT(Normalisasi!$K$35-Konvergensi!$C$324;2);PANGKAT(Normalisasi!$L$35-Konvergensi!$D$324;2);PANGKAT(Normalisasi!$M$35-Konvergensi!$E$324;2);PANGKAT(Normalisasi!$N$35-Konvergensi!$F$324;2);PANGKAT(Normalisasi!$O$35-Konvergensi!$G$324;2);PANGKAT(Normalisasi!$P$35-Konvergensi!$H$324;2));0);JIKA(F304=1;JUMLAH(PANGKAT(Normalisasi!$J$35-Konvergensi!$B$325;2);PANGKAT(Normalisasi!$K$35-Konvergensi!$C$325;2);PANGKAT(Normalisasi!$L$35-Konvergensi!$D$325;2);PANGKAT(Normalisasi!$M$35-Konvergensi!$E$325;2);PANGKAT(Normalisasi!$N$35-Konvergensi!$F$325;2);PANGKAT(Normalisasi!$O$35-Konvergensi!$G$325;2);PANGKAT(Normalisasi!$P$35-Konvergensi!$H$325;2));0);JIKA(F304=2;JUMLAH(PANGKAT(Normalisasi!$J$35-Konvergensi!$B$326;2);PANGKAT(Normalisasi!$K$35-Konvergensi!$C$326;2);PANGKAT(Normalisasi!$L$35-Konvergensi!$D$326;2);PANGKAT(Normalisasi!$M$35-Konvergensi!$E$326;2);PANGKAT(Normalisasi!$N$35-Konvergensi!$F$326;2);PANGKAT(Normalisasi!$O$35-Konvergensi!$G$326;2);PANGKAT(Normalisasi!$P$35-Konvergensi!$H$326;2));0))</f>
        <v/>
      </c>
      <c r="H304" t="n">
        <v>0</v>
      </c>
      <c r="I304" t="n">
        <v>3.819107230277627</v>
      </c>
    </row>
    <row r="305">
      <c r="A305">
        <f>Data_Awal!A36</f>
        <v/>
      </c>
      <c r="B305">
        <f>Data_Awal!B36</f>
        <v/>
      </c>
      <c r="C305">
        <f>AKAR(JUMLAH(PANGKAT(Normalisasi!$J$36-Konvergensi!$B$259;2);PANGKAT(Normalisasi!$K$36-Konvergensi!$C$259;2);PANGKAT(Normalisasi!$L$36-Konvergensi!$D$259;2);PANGKAT(Normalisasi!$M$36-Konvergensi!$E$259;2);PANGKAT(Normalisasi!$N$36-Konvergensi!$F$259;2);PANGKAT(Normalisasi!$O$36-Konvergensi!$G$259;2);PANGKAT(Normalisasi!$P$36-Konvergensi!$H$259;2)))</f>
        <v/>
      </c>
      <c r="D305">
        <f>AKAR(JUMLAH(PANGKAT(Normalisasi!$J$36-Konvergensi!$B$260;2);PANGKAT(Normalisasi!$K$36-Konvergensi!$C$260;2);PANGKAT(Normalisasi!$L$36-Konvergensi!$D$260;2);PANGKAT(Normalisasi!$M$36-Konvergensi!$E$260;2);PANGKAT(Normalisasi!$N$36-Konvergensi!$F$260;2);PANGKAT(Normalisasi!$O$36-Konvergensi!$G$260;2);PANGKAT(Normalisasi!$P$36-Konvergensi!$H$260;2)))</f>
        <v/>
      </c>
      <c r="E305">
        <f>AKAR(JUMLAH(PANGKAT(Normalisasi!$J$36-Konvergensi!$B$261;2);PANGKAT(Normalisasi!$K$36-Konvergensi!$C$261;2);PANGKAT(Normalisasi!$L$36-Konvergensi!$D$261;2);PANGKAT(Normalisasi!$M$36-Konvergensi!$E$261;2);PANGKAT(Normalisasi!$N$36-Konvergensi!$F$261;2);PANGKAT(Normalisasi!$O$36-Konvergensi!$G$261;2);PANGKAT(Normalisasi!$P$36-Konvergensi!$H$261;2)))</f>
        <v/>
      </c>
      <c r="F305">
        <f>JIKA(C305&lt;=D305;=JIKA(C305&lt;=E305;0;2);=JIKA(D305&lt;=E305;1;2))</f>
        <v/>
      </c>
      <c r="G305">
        <f>JUMLAH(JIKA(F305=0;JUMLAH(PANGKAT(Normalisasi!$J$36-Konvergensi!$B$324;2);PANGKAT(Normalisasi!$K$36-Konvergensi!$C$324;2);PANGKAT(Normalisasi!$L$36-Konvergensi!$D$324;2);PANGKAT(Normalisasi!$M$36-Konvergensi!$E$324;2);PANGKAT(Normalisasi!$N$36-Konvergensi!$F$324;2);PANGKAT(Normalisasi!$O$36-Konvergensi!$G$324;2);PANGKAT(Normalisasi!$P$36-Konvergensi!$H$324;2));0);JIKA(F305=1;JUMLAH(PANGKAT(Normalisasi!$J$36-Konvergensi!$B$325;2);PANGKAT(Normalisasi!$K$36-Konvergensi!$C$325;2);PANGKAT(Normalisasi!$L$36-Konvergensi!$D$325;2);PANGKAT(Normalisasi!$M$36-Konvergensi!$E$325;2);PANGKAT(Normalisasi!$N$36-Konvergensi!$F$325;2);PANGKAT(Normalisasi!$O$36-Konvergensi!$G$325;2);PANGKAT(Normalisasi!$P$36-Konvergensi!$H$325;2));0);JIKA(F305=2;JUMLAH(PANGKAT(Normalisasi!$J$36-Konvergensi!$B$326;2);PANGKAT(Normalisasi!$K$36-Konvergensi!$C$326;2);PANGKAT(Normalisasi!$L$36-Konvergensi!$D$326;2);PANGKAT(Normalisasi!$M$36-Konvergensi!$E$326;2);PANGKAT(Normalisasi!$N$36-Konvergensi!$F$326;2);PANGKAT(Normalisasi!$O$36-Konvergensi!$G$326;2);PANGKAT(Normalisasi!$P$36-Konvergensi!$H$326;2));0))</f>
        <v/>
      </c>
      <c r="H305" t="n">
        <v>0</v>
      </c>
      <c r="I305" t="n">
        <v>5.169690879741929</v>
      </c>
    </row>
    <row r="306">
      <c r="A306">
        <f>Data_Awal!A37</f>
        <v/>
      </c>
      <c r="B306">
        <f>Data_Awal!B37</f>
        <v/>
      </c>
      <c r="C306">
        <f>AKAR(JUMLAH(PANGKAT(Normalisasi!$J$37-Konvergensi!$B$259;2);PANGKAT(Normalisasi!$K$37-Konvergensi!$C$259;2);PANGKAT(Normalisasi!$L$37-Konvergensi!$D$259;2);PANGKAT(Normalisasi!$M$37-Konvergensi!$E$259;2);PANGKAT(Normalisasi!$N$37-Konvergensi!$F$259;2);PANGKAT(Normalisasi!$O$37-Konvergensi!$G$259;2);PANGKAT(Normalisasi!$P$37-Konvergensi!$H$259;2)))</f>
        <v/>
      </c>
      <c r="D306">
        <f>AKAR(JUMLAH(PANGKAT(Normalisasi!$J$37-Konvergensi!$B$260;2);PANGKAT(Normalisasi!$K$37-Konvergensi!$C$260;2);PANGKAT(Normalisasi!$L$37-Konvergensi!$D$260;2);PANGKAT(Normalisasi!$M$37-Konvergensi!$E$260;2);PANGKAT(Normalisasi!$N$37-Konvergensi!$F$260;2);PANGKAT(Normalisasi!$O$37-Konvergensi!$G$260;2);PANGKAT(Normalisasi!$P$37-Konvergensi!$H$260;2)))</f>
        <v/>
      </c>
      <c r="E306">
        <f>AKAR(JUMLAH(PANGKAT(Normalisasi!$J$37-Konvergensi!$B$261;2);PANGKAT(Normalisasi!$K$37-Konvergensi!$C$261;2);PANGKAT(Normalisasi!$L$37-Konvergensi!$D$261;2);PANGKAT(Normalisasi!$M$37-Konvergensi!$E$261;2);PANGKAT(Normalisasi!$N$37-Konvergensi!$F$261;2);PANGKAT(Normalisasi!$O$37-Konvergensi!$G$261;2);PANGKAT(Normalisasi!$P$37-Konvergensi!$H$261;2)))</f>
        <v/>
      </c>
      <c r="F306">
        <f>JIKA(C306&lt;=D306;=JIKA(C306&lt;=E306;0;2);=JIKA(D306&lt;=E306;1;2))</f>
        <v/>
      </c>
      <c r="G306">
        <f>JUMLAH(JIKA(F306=0;JUMLAH(PANGKAT(Normalisasi!$J$37-Konvergensi!$B$324;2);PANGKAT(Normalisasi!$K$37-Konvergensi!$C$324;2);PANGKAT(Normalisasi!$L$37-Konvergensi!$D$324;2);PANGKAT(Normalisasi!$M$37-Konvergensi!$E$324;2);PANGKAT(Normalisasi!$N$37-Konvergensi!$F$324;2);PANGKAT(Normalisasi!$O$37-Konvergensi!$G$324;2);PANGKAT(Normalisasi!$P$37-Konvergensi!$H$324;2));0);JIKA(F306=1;JUMLAH(PANGKAT(Normalisasi!$J$37-Konvergensi!$B$325;2);PANGKAT(Normalisasi!$K$37-Konvergensi!$C$325;2);PANGKAT(Normalisasi!$L$37-Konvergensi!$D$325;2);PANGKAT(Normalisasi!$M$37-Konvergensi!$E$325;2);PANGKAT(Normalisasi!$N$37-Konvergensi!$F$325;2);PANGKAT(Normalisasi!$O$37-Konvergensi!$G$325;2);PANGKAT(Normalisasi!$P$37-Konvergensi!$H$325;2));0);JIKA(F306=2;JUMLAH(PANGKAT(Normalisasi!$J$37-Konvergensi!$B$326;2);PANGKAT(Normalisasi!$K$37-Konvergensi!$C$326;2);PANGKAT(Normalisasi!$L$37-Konvergensi!$D$326;2);PANGKAT(Normalisasi!$M$37-Konvergensi!$E$326;2);PANGKAT(Normalisasi!$N$37-Konvergensi!$F$326;2);PANGKAT(Normalisasi!$O$37-Konvergensi!$G$326;2);PANGKAT(Normalisasi!$P$37-Konvergensi!$H$326;2));0))</f>
        <v/>
      </c>
      <c r="H306" t="n">
        <v>0</v>
      </c>
      <c r="I306" t="n">
        <v>5.902682035892933</v>
      </c>
    </row>
    <row r="307">
      <c r="A307">
        <f>Data_Awal!A38</f>
        <v/>
      </c>
      <c r="B307">
        <f>Data_Awal!B38</f>
        <v/>
      </c>
      <c r="C307">
        <f>AKAR(JUMLAH(PANGKAT(Normalisasi!$J$38-Konvergensi!$B$259;2);PANGKAT(Normalisasi!$K$38-Konvergensi!$C$259;2);PANGKAT(Normalisasi!$L$38-Konvergensi!$D$259;2);PANGKAT(Normalisasi!$M$38-Konvergensi!$E$259;2);PANGKAT(Normalisasi!$N$38-Konvergensi!$F$259;2);PANGKAT(Normalisasi!$O$38-Konvergensi!$G$259;2);PANGKAT(Normalisasi!$P$38-Konvergensi!$H$259;2)))</f>
        <v/>
      </c>
      <c r="D307">
        <f>AKAR(JUMLAH(PANGKAT(Normalisasi!$J$38-Konvergensi!$B$260;2);PANGKAT(Normalisasi!$K$38-Konvergensi!$C$260;2);PANGKAT(Normalisasi!$L$38-Konvergensi!$D$260;2);PANGKAT(Normalisasi!$M$38-Konvergensi!$E$260;2);PANGKAT(Normalisasi!$N$38-Konvergensi!$F$260;2);PANGKAT(Normalisasi!$O$38-Konvergensi!$G$260;2);PANGKAT(Normalisasi!$P$38-Konvergensi!$H$260;2)))</f>
        <v/>
      </c>
      <c r="E307">
        <f>AKAR(JUMLAH(PANGKAT(Normalisasi!$J$38-Konvergensi!$B$261;2);PANGKAT(Normalisasi!$K$38-Konvergensi!$C$261;2);PANGKAT(Normalisasi!$L$38-Konvergensi!$D$261;2);PANGKAT(Normalisasi!$M$38-Konvergensi!$E$261;2);PANGKAT(Normalisasi!$N$38-Konvergensi!$F$261;2);PANGKAT(Normalisasi!$O$38-Konvergensi!$G$261;2);PANGKAT(Normalisasi!$P$38-Konvergensi!$H$261;2)))</f>
        <v/>
      </c>
      <c r="F307">
        <f>JIKA(C307&lt;=D307;=JIKA(C307&lt;=E307;0;2);=JIKA(D307&lt;=E307;1;2))</f>
        <v/>
      </c>
      <c r="G307">
        <f>JUMLAH(JIKA(F307=0;JUMLAH(PANGKAT(Normalisasi!$J$38-Konvergensi!$B$324;2);PANGKAT(Normalisasi!$K$38-Konvergensi!$C$324;2);PANGKAT(Normalisasi!$L$38-Konvergensi!$D$324;2);PANGKAT(Normalisasi!$M$38-Konvergensi!$E$324;2);PANGKAT(Normalisasi!$N$38-Konvergensi!$F$324;2);PANGKAT(Normalisasi!$O$38-Konvergensi!$G$324;2);PANGKAT(Normalisasi!$P$38-Konvergensi!$H$324;2));0);JIKA(F307=1;JUMLAH(PANGKAT(Normalisasi!$J$38-Konvergensi!$B$325;2);PANGKAT(Normalisasi!$K$38-Konvergensi!$C$325;2);PANGKAT(Normalisasi!$L$38-Konvergensi!$D$325;2);PANGKAT(Normalisasi!$M$38-Konvergensi!$E$325;2);PANGKAT(Normalisasi!$N$38-Konvergensi!$F$325;2);PANGKAT(Normalisasi!$O$38-Konvergensi!$G$325;2);PANGKAT(Normalisasi!$P$38-Konvergensi!$H$325;2));0);JIKA(F307=2;JUMLAH(PANGKAT(Normalisasi!$J$38-Konvergensi!$B$326;2);PANGKAT(Normalisasi!$K$38-Konvergensi!$C$326;2);PANGKAT(Normalisasi!$L$38-Konvergensi!$D$326;2);PANGKAT(Normalisasi!$M$38-Konvergensi!$E$326;2);PANGKAT(Normalisasi!$N$38-Konvergensi!$F$326;2);PANGKAT(Normalisasi!$O$38-Konvergensi!$G$326;2);PANGKAT(Normalisasi!$P$38-Konvergensi!$H$326;2));0))</f>
        <v/>
      </c>
      <c r="H307" t="n">
        <v>1</v>
      </c>
      <c r="I307" t="n">
        <v>4.046573155424091</v>
      </c>
    </row>
    <row r="308">
      <c r="A308">
        <f>Data_Awal!A39</f>
        <v/>
      </c>
      <c r="B308">
        <f>Data_Awal!B39</f>
        <v/>
      </c>
      <c r="C308">
        <f>AKAR(JUMLAH(PANGKAT(Normalisasi!$J$39-Konvergensi!$B$259;2);PANGKAT(Normalisasi!$K$39-Konvergensi!$C$259;2);PANGKAT(Normalisasi!$L$39-Konvergensi!$D$259;2);PANGKAT(Normalisasi!$M$39-Konvergensi!$E$259;2);PANGKAT(Normalisasi!$N$39-Konvergensi!$F$259;2);PANGKAT(Normalisasi!$O$39-Konvergensi!$G$259;2);PANGKAT(Normalisasi!$P$39-Konvergensi!$H$259;2)))</f>
        <v/>
      </c>
      <c r="D308">
        <f>AKAR(JUMLAH(PANGKAT(Normalisasi!$J$39-Konvergensi!$B$260;2);PANGKAT(Normalisasi!$K$39-Konvergensi!$C$260;2);PANGKAT(Normalisasi!$L$39-Konvergensi!$D$260;2);PANGKAT(Normalisasi!$M$39-Konvergensi!$E$260;2);PANGKAT(Normalisasi!$N$39-Konvergensi!$F$260;2);PANGKAT(Normalisasi!$O$39-Konvergensi!$G$260;2);PANGKAT(Normalisasi!$P$39-Konvergensi!$H$260;2)))</f>
        <v/>
      </c>
      <c r="E308">
        <f>AKAR(JUMLAH(PANGKAT(Normalisasi!$J$39-Konvergensi!$B$261;2);PANGKAT(Normalisasi!$K$39-Konvergensi!$C$261;2);PANGKAT(Normalisasi!$L$39-Konvergensi!$D$261;2);PANGKAT(Normalisasi!$M$39-Konvergensi!$E$261;2);PANGKAT(Normalisasi!$N$39-Konvergensi!$F$261;2);PANGKAT(Normalisasi!$O$39-Konvergensi!$G$261;2);PANGKAT(Normalisasi!$P$39-Konvergensi!$H$261;2)))</f>
        <v/>
      </c>
      <c r="F308">
        <f>JIKA(C308&lt;=D308;=JIKA(C308&lt;=E308;0;2);=JIKA(D308&lt;=E308;1;2))</f>
        <v/>
      </c>
      <c r="G308">
        <f>JUMLAH(JIKA(F308=0;JUMLAH(PANGKAT(Normalisasi!$J$39-Konvergensi!$B$324;2);PANGKAT(Normalisasi!$K$39-Konvergensi!$C$324;2);PANGKAT(Normalisasi!$L$39-Konvergensi!$D$324;2);PANGKAT(Normalisasi!$M$39-Konvergensi!$E$324;2);PANGKAT(Normalisasi!$N$39-Konvergensi!$F$324;2);PANGKAT(Normalisasi!$O$39-Konvergensi!$G$324;2);PANGKAT(Normalisasi!$P$39-Konvergensi!$H$324;2));0);JIKA(F308=1;JUMLAH(PANGKAT(Normalisasi!$J$39-Konvergensi!$B$325;2);PANGKAT(Normalisasi!$K$39-Konvergensi!$C$325;2);PANGKAT(Normalisasi!$L$39-Konvergensi!$D$325;2);PANGKAT(Normalisasi!$M$39-Konvergensi!$E$325;2);PANGKAT(Normalisasi!$N$39-Konvergensi!$F$325;2);PANGKAT(Normalisasi!$O$39-Konvergensi!$G$325;2);PANGKAT(Normalisasi!$P$39-Konvergensi!$H$325;2));0);JIKA(F308=2;JUMLAH(PANGKAT(Normalisasi!$J$39-Konvergensi!$B$326;2);PANGKAT(Normalisasi!$K$39-Konvergensi!$C$326;2);PANGKAT(Normalisasi!$L$39-Konvergensi!$D$326;2);PANGKAT(Normalisasi!$M$39-Konvergensi!$E$326;2);PANGKAT(Normalisasi!$N$39-Konvergensi!$F$326;2);PANGKAT(Normalisasi!$O$39-Konvergensi!$G$326;2);PANGKAT(Normalisasi!$P$39-Konvergensi!$H$326;2));0))</f>
        <v/>
      </c>
      <c r="H308" t="n">
        <v>0</v>
      </c>
      <c r="I308" t="n">
        <v>10.07584020272325</v>
      </c>
    </row>
    <row r="309">
      <c r="A309">
        <f>Data_Awal!A40</f>
        <v/>
      </c>
      <c r="B309">
        <f>Data_Awal!B40</f>
        <v/>
      </c>
      <c r="C309">
        <f>AKAR(JUMLAH(PANGKAT(Normalisasi!$J$40-Konvergensi!$B$259;2);PANGKAT(Normalisasi!$K$40-Konvergensi!$C$259;2);PANGKAT(Normalisasi!$L$40-Konvergensi!$D$259;2);PANGKAT(Normalisasi!$M$40-Konvergensi!$E$259;2);PANGKAT(Normalisasi!$N$40-Konvergensi!$F$259;2);PANGKAT(Normalisasi!$O$40-Konvergensi!$G$259;2);PANGKAT(Normalisasi!$P$40-Konvergensi!$H$259;2)))</f>
        <v/>
      </c>
      <c r="D309">
        <f>AKAR(JUMLAH(PANGKAT(Normalisasi!$J$40-Konvergensi!$B$260;2);PANGKAT(Normalisasi!$K$40-Konvergensi!$C$260;2);PANGKAT(Normalisasi!$L$40-Konvergensi!$D$260;2);PANGKAT(Normalisasi!$M$40-Konvergensi!$E$260;2);PANGKAT(Normalisasi!$N$40-Konvergensi!$F$260;2);PANGKAT(Normalisasi!$O$40-Konvergensi!$G$260;2);PANGKAT(Normalisasi!$P$40-Konvergensi!$H$260;2)))</f>
        <v/>
      </c>
      <c r="E309">
        <f>AKAR(JUMLAH(PANGKAT(Normalisasi!$J$40-Konvergensi!$B$261;2);PANGKAT(Normalisasi!$K$40-Konvergensi!$C$261;2);PANGKAT(Normalisasi!$L$40-Konvergensi!$D$261;2);PANGKAT(Normalisasi!$M$40-Konvergensi!$E$261;2);PANGKAT(Normalisasi!$N$40-Konvergensi!$F$261;2);PANGKAT(Normalisasi!$O$40-Konvergensi!$G$261;2);PANGKAT(Normalisasi!$P$40-Konvergensi!$H$261;2)))</f>
        <v/>
      </c>
      <c r="F309">
        <f>JIKA(C309&lt;=D309;=JIKA(C309&lt;=E309;0;2);=JIKA(D309&lt;=E309;1;2))</f>
        <v/>
      </c>
      <c r="G309">
        <f>JUMLAH(JIKA(F309=0;JUMLAH(PANGKAT(Normalisasi!$J$40-Konvergensi!$B$324;2);PANGKAT(Normalisasi!$K$40-Konvergensi!$C$324;2);PANGKAT(Normalisasi!$L$40-Konvergensi!$D$324;2);PANGKAT(Normalisasi!$M$40-Konvergensi!$E$324;2);PANGKAT(Normalisasi!$N$40-Konvergensi!$F$324;2);PANGKAT(Normalisasi!$O$40-Konvergensi!$G$324;2);PANGKAT(Normalisasi!$P$40-Konvergensi!$H$324;2));0);JIKA(F309=1;JUMLAH(PANGKAT(Normalisasi!$J$40-Konvergensi!$B$325;2);PANGKAT(Normalisasi!$K$40-Konvergensi!$C$325;2);PANGKAT(Normalisasi!$L$40-Konvergensi!$D$325;2);PANGKAT(Normalisasi!$M$40-Konvergensi!$E$325;2);PANGKAT(Normalisasi!$N$40-Konvergensi!$F$325;2);PANGKAT(Normalisasi!$O$40-Konvergensi!$G$325;2);PANGKAT(Normalisasi!$P$40-Konvergensi!$H$325;2));0);JIKA(F309=2;JUMLAH(PANGKAT(Normalisasi!$J$40-Konvergensi!$B$326;2);PANGKAT(Normalisasi!$K$40-Konvergensi!$C$326;2);PANGKAT(Normalisasi!$L$40-Konvergensi!$D$326;2);PANGKAT(Normalisasi!$M$40-Konvergensi!$E$326;2);PANGKAT(Normalisasi!$N$40-Konvergensi!$F$326;2);PANGKAT(Normalisasi!$O$40-Konvergensi!$G$326;2);PANGKAT(Normalisasi!$P$40-Konvergensi!$H$326;2));0))</f>
        <v/>
      </c>
      <c r="H309" t="n">
        <v>1</v>
      </c>
      <c r="I309" t="n">
        <v>4.741221600312443</v>
      </c>
    </row>
    <row r="310">
      <c r="A310">
        <f>Data_Awal!A41</f>
        <v/>
      </c>
      <c r="B310">
        <f>Data_Awal!B41</f>
        <v/>
      </c>
      <c r="C310">
        <f>AKAR(JUMLAH(PANGKAT(Normalisasi!$J$41-Konvergensi!$B$259;2);PANGKAT(Normalisasi!$K$41-Konvergensi!$C$259;2);PANGKAT(Normalisasi!$L$41-Konvergensi!$D$259;2);PANGKAT(Normalisasi!$M$41-Konvergensi!$E$259;2);PANGKAT(Normalisasi!$N$41-Konvergensi!$F$259;2);PANGKAT(Normalisasi!$O$41-Konvergensi!$G$259;2);PANGKAT(Normalisasi!$P$41-Konvergensi!$H$259;2)))</f>
        <v/>
      </c>
      <c r="D310">
        <f>AKAR(JUMLAH(PANGKAT(Normalisasi!$J$41-Konvergensi!$B$260;2);PANGKAT(Normalisasi!$K$41-Konvergensi!$C$260;2);PANGKAT(Normalisasi!$L$41-Konvergensi!$D$260;2);PANGKAT(Normalisasi!$M$41-Konvergensi!$E$260;2);PANGKAT(Normalisasi!$N$41-Konvergensi!$F$260;2);PANGKAT(Normalisasi!$O$41-Konvergensi!$G$260;2);PANGKAT(Normalisasi!$P$41-Konvergensi!$H$260;2)))</f>
        <v/>
      </c>
      <c r="E310">
        <f>AKAR(JUMLAH(PANGKAT(Normalisasi!$J$41-Konvergensi!$B$261;2);PANGKAT(Normalisasi!$K$41-Konvergensi!$C$261;2);PANGKAT(Normalisasi!$L$41-Konvergensi!$D$261;2);PANGKAT(Normalisasi!$M$41-Konvergensi!$E$261;2);PANGKAT(Normalisasi!$N$41-Konvergensi!$F$261;2);PANGKAT(Normalisasi!$O$41-Konvergensi!$G$261;2);PANGKAT(Normalisasi!$P$41-Konvergensi!$H$261;2)))</f>
        <v/>
      </c>
      <c r="F310">
        <f>JIKA(C310&lt;=D310;=JIKA(C310&lt;=E310;0;2);=JIKA(D310&lt;=E310;1;2))</f>
        <v/>
      </c>
      <c r="G310">
        <f>JUMLAH(JIKA(F310=0;JUMLAH(PANGKAT(Normalisasi!$J$41-Konvergensi!$B$324;2);PANGKAT(Normalisasi!$K$41-Konvergensi!$C$324;2);PANGKAT(Normalisasi!$L$41-Konvergensi!$D$324;2);PANGKAT(Normalisasi!$M$41-Konvergensi!$E$324;2);PANGKAT(Normalisasi!$N$41-Konvergensi!$F$324;2);PANGKAT(Normalisasi!$O$41-Konvergensi!$G$324;2);PANGKAT(Normalisasi!$P$41-Konvergensi!$H$324;2));0);JIKA(F310=1;JUMLAH(PANGKAT(Normalisasi!$J$41-Konvergensi!$B$325;2);PANGKAT(Normalisasi!$K$41-Konvergensi!$C$325;2);PANGKAT(Normalisasi!$L$41-Konvergensi!$D$325;2);PANGKAT(Normalisasi!$M$41-Konvergensi!$E$325;2);PANGKAT(Normalisasi!$N$41-Konvergensi!$F$325;2);PANGKAT(Normalisasi!$O$41-Konvergensi!$G$325;2);PANGKAT(Normalisasi!$P$41-Konvergensi!$H$325;2));0);JIKA(F310=2;JUMLAH(PANGKAT(Normalisasi!$J$41-Konvergensi!$B$326;2);PANGKAT(Normalisasi!$K$41-Konvergensi!$C$326;2);PANGKAT(Normalisasi!$L$41-Konvergensi!$D$326;2);PANGKAT(Normalisasi!$M$41-Konvergensi!$E$326;2);PANGKAT(Normalisasi!$N$41-Konvergensi!$F$326;2);PANGKAT(Normalisasi!$O$41-Konvergensi!$G$326;2);PANGKAT(Normalisasi!$P$41-Konvergensi!$H$326;2));0))</f>
        <v/>
      </c>
      <c r="H310" t="n">
        <v>1</v>
      </c>
      <c r="I310" t="n">
        <v>7.305191963054995</v>
      </c>
    </row>
    <row r="311">
      <c r="A311">
        <f>Data_Awal!A42</f>
        <v/>
      </c>
      <c r="B311">
        <f>Data_Awal!B42</f>
        <v/>
      </c>
      <c r="C311">
        <f>AKAR(JUMLAH(PANGKAT(Normalisasi!$J$42-Konvergensi!$B$259;2);PANGKAT(Normalisasi!$K$42-Konvergensi!$C$259;2);PANGKAT(Normalisasi!$L$42-Konvergensi!$D$259;2);PANGKAT(Normalisasi!$M$42-Konvergensi!$E$259;2);PANGKAT(Normalisasi!$N$42-Konvergensi!$F$259;2);PANGKAT(Normalisasi!$O$42-Konvergensi!$G$259;2);PANGKAT(Normalisasi!$P$42-Konvergensi!$H$259;2)))</f>
        <v/>
      </c>
      <c r="D311">
        <f>AKAR(JUMLAH(PANGKAT(Normalisasi!$J$42-Konvergensi!$B$260;2);PANGKAT(Normalisasi!$K$42-Konvergensi!$C$260;2);PANGKAT(Normalisasi!$L$42-Konvergensi!$D$260;2);PANGKAT(Normalisasi!$M$42-Konvergensi!$E$260;2);PANGKAT(Normalisasi!$N$42-Konvergensi!$F$260;2);PANGKAT(Normalisasi!$O$42-Konvergensi!$G$260;2);PANGKAT(Normalisasi!$P$42-Konvergensi!$H$260;2)))</f>
        <v/>
      </c>
      <c r="E311">
        <f>AKAR(JUMLAH(PANGKAT(Normalisasi!$J$42-Konvergensi!$B$261;2);PANGKAT(Normalisasi!$K$42-Konvergensi!$C$261;2);PANGKAT(Normalisasi!$L$42-Konvergensi!$D$261;2);PANGKAT(Normalisasi!$M$42-Konvergensi!$E$261;2);PANGKAT(Normalisasi!$N$42-Konvergensi!$F$261;2);PANGKAT(Normalisasi!$O$42-Konvergensi!$G$261;2);PANGKAT(Normalisasi!$P$42-Konvergensi!$H$261;2)))</f>
        <v/>
      </c>
      <c r="F311">
        <f>JIKA(C311&lt;=D311;=JIKA(C311&lt;=E311;0;2);=JIKA(D311&lt;=E311;1;2))</f>
        <v/>
      </c>
      <c r="G311">
        <f>JUMLAH(JIKA(F311=0;JUMLAH(PANGKAT(Normalisasi!$J$42-Konvergensi!$B$324;2);PANGKAT(Normalisasi!$K$42-Konvergensi!$C$324;2);PANGKAT(Normalisasi!$L$42-Konvergensi!$D$324;2);PANGKAT(Normalisasi!$M$42-Konvergensi!$E$324;2);PANGKAT(Normalisasi!$N$42-Konvergensi!$F$324;2);PANGKAT(Normalisasi!$O$42-Konvergensi!$G$324;2);PANGKAT(Normalisasi!$P$42-Konvergensi!$H$324;2));0);JIKA(F311=1;JUMLAH(PANGKAT(Normalisasi!$J$42-Konvergensi!$B$325;2);PANGKAT(Normalisasi!$K$42-Konvergensi!$C$325;2);PANGKAT(Normalisasi!$L$42-Konvergensi!$D$325;2);PANGKAT(Normalisasi!$M$42-Konvergensi!$E$325;2);PANGKAT(Normalisasi!$N$42-Konvergensi!$F$325;2);PANGKAT(Normalisasi!$O$42-Konvergensi!$G$325;2);PANGKAT(Normalisasi!$P$42-Konvergensi!$H$325;2));0);JIKA(F311=2;JUMLAH(PANGKAT(Normalisasi!$J$42-Konvergensi!$B$326;2);PANGKAT(Normalisasi!$K$42-Konvergensi!$C$326;2);PANGKAT(Normalisasi!$L$42-Konvergensi!$D$326;2);PANGKAT(Normalisasi!$M$42-Konvergensi!$E$326;2);PANGKAT(Normalisasi!$N$42-Konvergensi!$F$326;2);PANGKAT(Normalisasi!$O$42-Konvergensi!$G$326;2);PANGKAT(Normalisasi!$P$42-Konvergensi!$H$326;2));0))</f>
        <v/>
      </c>
      <c r="H311" t="n">
        <v>0</v>
      </c>
      <c r="I311" t="n">
        <v>1.832232371489693</v>
      </c>
    </row>
    <row r="312">
      <c r="A312">
        <f>Data_Awal!A43</f>
        <v/>
      </c>
      <c r="B312">
        <f>Data_Awal!B43</f>
        <v/>
      </c>
      <c r="C312">
        <f>AKAR(JUMLAH(PANGKAT(Normalisasi!$J$43-Konvergensi!$B$259;2);PANGKAT(Normalisasi!$K$43-Konvergensi!$C$259;2);PANGKAT(Normalisasi!$L$43-Konvergensi!$D$259;2);PANGKAT(Normalisasi!$M$43-Konvergensi!$E$259;2);PANGKAT(Normalisasi!$N$43-Konvergensi!$F$259;2);PANGKAT(Normalisasi!$O$43-Konvergensi!$G$259;2);PANGKAT(Normalisasi!$P$43-Konvergensi!$H$259;2)))</f>
        <v/>
      </c>
      <c r="D312">
        <f>AKAR(JUMLAH(PANGKAT(Normalisasi!$J$43-Konvergensi!$B$260;2);PANGKAT(Normalisasi!$K$43-Konvergensi!$C$260;2);PANGKAT(Normalisasi!$L$43-Konvergensi!$D$260;2);PANGKAT(Normalisasi!$M$43-Konvergensi!$E$260;2);PANGKAT(Normalisasi!$N$43-Konvergensi!$F$260;2);PANGKAT(Normalisasi!$O$43-Konvergensi!$G$260;2);PANGKAT(Normalisasi!$P$43-Konvergensi!$H$260;2)))</f>
        <v/>
      </c>
      <c r="E312">
        <f>AKAR(JUMLAH(PANGKAT(Normalisasi!$J$43-Konvergensi!$B$261;2);PANGKAT(Normalisasi!$K$43-Konvergensi!$C$261;2);PANGKAT(Normalisasi!$L$43-Konvergensi!$D$261;2);PANGKAT(Normalisasi!$M$43-Konvergensi!$E$261;2);PANGKAT(Normalisasi!$N$43-Konvergensi!$F$261;2);PANGKAT(Normalisasi!$O$43-Konvergensi!$G$261;2);PANGKAT(Normalisasi!$P$43-Konvergensi!$H$261;2)))</f>
        <v/>
      </c>
      <c r="F312">
        <f>JIKA(C312&lt;=D312;=JIKA(C312&lt;=E312;0;2);=JIKA(D312&lt;=E312;1;2))</f>
        <v/>
      </c>
      <c r="G312">
        <f>JUMLAH(JIKA(F312=0;JUMLAH(PANGKAT(Normalisasi!$J$43-Konvergensi!$B$324;2);PANGKAT(Normalisasi!$K$43-Konvergensi!$C$324;2);PANGKAT(Normalisasi!$L$43-Konvergensi!$D$324;2);PANGKAT(Normalisasi!$M$43-Konvergensi!$E$324;2);PANGKAT(Normalisasi!$N$43-Konvergensi!$F$324;2);PANGKAT(Normalisasi!$O$43-Konvergensi!$G$324;2);PANGKAT(Normalisasi!$P$43-Konvergensi!$H$324;2));0);JIKA(F312=1;JUMLAH(PANGKAT(Normalisasi!$J$43-Konvergensi!$B$325;2);PANGKAT(Normalisasi!$K$43-Konvergensi!$C$325;2);PANGKAT(Normalisasi!$L$43-Konvergensi!$D$325;2);PANGKAT(Normalisasi!$M$43-Konvergensi!$E$325;2);PANGKAT(Normalisasi!$N$43-Konvergensi!$F$325;2);PANGKAT(Normalisasi!$O$43-Konvergensi!$G$325;2);PANGKAT(Normalisasi!$P$43-Konvergensi!$H$325;2));0);JIKA(F312=2;JUMLAH(PANGKAT(Normalisasi!$J$43-Konvergensi!$B$326;2);PANGKAT(Normalisasi!$K$43-Konvergensi!$C$326;2);PANGKAT(Normalisasi!$L$43-Konvergensi!$D$326;2);PANGKAT(Normalisasi!$M$43-Konvergensi!$E$326;2);PANGKAT(Normalisasi!$N$43-Konvergensi!$F$326;2);PANGKAT(Normalisasi!$O$43-Konvergensi!$G$326;2);PANGKAT(Normalisasi!$P$43-Konvergensi!$H$326;2));0))</f>
        <v/>
      </c>
      <c r="H312" t="n">
        <v>2</v>
      </c>
      <c r="I312" t="n">
        <v>5.423261309890014</v>
      </c>
    </row>
    <row r="313">
      <c r="A313">
        <f>Data_Awal!A44</f>
        <v/>
      </c>
      <c r="B313">
        <f>Data_Awal!B44</f>
        <v/>
      </c>
      <c r="C313">
        <f>AKAR(JUMLAH(PANGKAT(Normalisasi!$J$44-Konvergensi!$B$259;2);PANGKAT(Normalisasi!$K$44-Konvergensi!$C$259;2);PANGKAT(Normalisasi!$L$44-Konvergensi!$D$259;2);PANGKAT(Normalisasi!$M$44-Konvergensi!$E$259;2);PANGKAT(Normalisasi!$N$44-Konvergensi!$F$259;2);PANGKAT(Normalisasi!$O$44-Konvergensi!$G$259;2);PANGKAT(Normalisasi!$P$44-Konvergensi!$H$259;2)))</f>
        <v/>
      </c>
      <c r="D313">
        <f>AKAR(JUMLAH(PANGKAT(Normalisasi!$J$44-Konvergensi!$B$260;2);PANGKAT(Normalisasi!$K$44-Konvergensi!$C$260;2);PANGKAT(Normalisasi!$L$44-Konvergensi!$D$260;2);PANGKAT(Normalisasi!$M$44-Konvergensi!$E$260;2);PANGKAT(Normalisasi!$N$44-Konvergensi!$F$260;2);PANGKAT(Normalisasi!$O$44-Konvergensi!$G$260;2);PANGKAT(Normalisasi!$P$44-Konvergensi!$H$260;2)))</f>
        <v/>
      </c>
      <c r="E313">
        <f>AKAR(JUMLAH(PANGKAT(Normalisasi!$J$44-Konvergensi!$B$261;2);PANGKAT(Normalisasi!$K$44-Konvergensi!$C$261;2);PANGKAT(Normalisasi!$L$44-Konvergensi!$D$261;2);PANGKAT(Normalisasi!$M$44-Konvergensi!$E$261;2);PANGKAT(Normalisasi!$N$44-Konvergensi!$F$261;2);PANGKAT(Normalisasi!$O$44-Konvergensi!$G$261;2);PANGKAT(Normalisasi!$P$44-Konvergensi!$H$261;2)))</f>
        <v/>
      </c>
      <c r="F313">
        <f>JIKA(C313&lt;=D313;=JIKA(C313&lt;=E313;0;2);=JIKA(D313&lt;=E313;1;2))</f>
        <v/>
      </c>
      <c r="G313">
        <f>JUMLAH(JIKA(F313=0;JUMLAH(PANGKAT(Normalisasi!$J$44-Konvergensi!$B$324;2);PANGKAT(Normalisasi!$K$44-Konvergensi!$C$324;2);PANGKAT(Normalisasi!$L$44-Konvergensi!$D$324;2);PANGKAT(Normalisasi!$M$44-Konvergensi!$E$324;2);PANGKAT(Normalisasi!$N$44-Konvergensi!$F$324;2);PANGKAT(Normalisasi!$O$44-Konvergensi!$G$324;2);PANGKAT(Normalisasi!$P$44-Konvergensi!$H$324;2));0);JIKA(F313=1;JUMLAH(PANGKAT(Normalisasi!$J$44-Konvergensi!$B$325;2);PANGKAT(Normalisasi!$K$44-Konvergensi!$C$325;2);PANGKAT(Normalisasi!$L$44-Konvergensi!$D$325;2);PANGKAT(Normalisasi!$M$44-Konvergensi!$E$325;2);PANGKAT(Normalisasi!$N$44-Konvergensi!$F$325;2);PANGKAT(Normalisasi!$O$44-Konvergensi!$G$325;2);PANGKAT(Normalisasi!$P$44-Konvergensi!$H$325;2));0);JIKA(F313=2;JUMLAH(PANGKAT(Normalisasi!$J$44-Konvergensi!$B$326;2);PANGKAT(Normalisasi!$K$44-Konvergensi!$C$326;2);PANGKAT(Normalisasi!$L$44-Konvergensi!$D$326;2);PANGKAT(Normalisasi!$M$44-Konvergensi!$E$326;2);PANGKAT(Normalisasi!$N$44-Konvergensi!$F$326;2);PANGKAT(Normalisasi!$O$44-Konvergensi!$G$326;2);PANGKAT(Normalisasi!$P$44-Konvergensi!$H$326;2));0))</f>
        <v/>
      </c>
      <c r="H313" t="n">
        <v>2</v>
      </c>
      <c r="I313" t="n">
        <v>2.361204432574049</v>
      </c>
    </row>
    <row r="314">
      <c r="A314">
        <f>Data_Awal!A45</f>
        <v/>
      </c>
      <c r="B314">
        <f>Data_Awal!B45</f>
        <v/>
      </c>
      <c r="C314">
        <f>AKAR(JUMLAH(PANGKAT(Normalisasi!$J$45-Konvergensi!$B$259;2);PANGKAT(Normalisasi!$K$45-Konvergensi!$C$259;2);PANGKAT(Normalisasi!$L$45-Konvergensi!$D$259;2);PANGKAT(Normalisasi!$M$45-Konvergensi!$E$259;2);PANGKAT(Normalisasi!$N$45-Konvergensi!$F$259;2);PANGKAT(Normalisasi!$O$45-Konvergensi!$G$259;2);PANGKAT(Normalisasi!$P$45-Konvergensi!$H$259;2)))</f>
        <v/>
      </c>
      <c r="D314">
        <f>AKAR(JUMLAH(PANGKAT(Normalisasi!$J$45-Konvergensi!$B$260;2);PANGKAT(Normalisasi!$K$45-Konvergensi!$C$260;2);PANGKAT(Normalisasi!$L$45-Konvergensi!$D$260;2);PANGKAT(Normalisasi!$M$45-Konvergensi!$E$260;2);PANGKAT(Normalisasi!$N$45-Konvergensi!$F$260;2);PANGKAT(Normalisasi!$O$45-Konvergensi!$G$260;2);PANGKAT(Normalisasi!$P$45-Konvergensi!$H$260;2)))</f>
        <v/>
      </c>
      <c r="E314">
        <f>AKAR(JUMLAH(PANGKAT(Normalisasi!$J$45-Konvergensi!$B$261;2);PANGKAT(Normalisasi!$K$45-Konvergensi!$C$261;2);PANGKAT(Normalisasi!$L$45-Konvergensi!$D$261;2);PANGKAT(Normalisasi!$M$45-Konvergensi!$E$261;2);PANGKAT(Normalisasi!$N$45-Konvergensi!$F$261;2);PANGKAT(Normalisasi!$O$45-Konvergensi!$G$261;2);PANGKAT(Normalisasi!$P$45-Konvergensi!$H$261;2)))</f>
        <v/>
      </c>
      <c r="F314">
        <f>JIKA(C314&lt;=D314;=JIKA(C314&lt;=E314;0;2);=JIKA(D314&lt;=E314;1;2))</f>
        <v/>
      </c>
      <c r="G314">
        <f>JUMLAH(JIKA(F314=0;JUMLAH(PANGKAT(Normalisasi!$J$45-Konvergensi!$B$324;2);PANGKAT(Normalisasi!$K$45-Konvergensi!$C$324;2);PANGKAT(Normalisasi!$L$45-Konvergensi!$D$324;2);PANGKAT(Normalisasi!$M$45-Konvergensi!$E$324;2);PANGKAT(Normalisasi!$N$45-Konvergensi!$F$324;2);PANGKAT(Normalisasi!$O$45-Konvergensi!$G$324;2);PANGKAT(Normalisasi!$P$45-Konvergensi!$H$324;2));0);JIKA(F314=1;JUMLAH(PANGKAT(Normalisasi!$J$45-Konvergensi!$B$325;2);PANGKAT(Normalisasi!$K$45-Konvergensi!$C$325;2);PANGKAT(Normalisasi!$L$45-Konvergensi!$D$325;2);PANGKAT(Normalisasi!$M$45-Konvergensi!$E$325;2);PANGKAT(Normalisasi!$N$45-Konvergensi!$F$325;2);PANGKAT(Normalisasi!$O$45-Konvergensi!$G$325;2);PANGKAT(Normalisasi!$P$45-Konvergensi!$H$325;2));0);JIKA(F314=2;JUMLAH(PANGKAT(Normalisasi!$J$45-Konvergensi!$B$326;2);PANGKAT(Normalisasi!$K$45-Konvergensi!$C$326;2);PANGKAT(Normalisasi!$L$45-Konvergensi!$D$326;2);PANGKAT(Normalisasi!$M$45-Konvergensi!$E$326;2);PANGKAT(Normalisasi!$N$45-Konvergensi!$F$326;2);PANGKAT(Normalisasi!$O$45-Konvergensi!$G$326;2);PANGKAT(Normalisasi!$P$45-Konvergensi!$H$326;2));0))</f>
        <v/>
      </c>
      <c r="H314" t="n">
        <v>0</v>
      </c>
      <c r="I314" t="n">
        <v>7.930669497458111</v>
      </c>
    </row>
    <row r="315">
      <c r="A315">
        <f>Data_Awal!A46</f>
        <v/>
      </c>
      <c r="B315">
        <f>Data_Awal!B46</f>
        <v/>
      </c>
      <c r="C315">
        <f>AKAR(JUMLAH(PANGKAT(Normalisasi!$J$46-Konvergensi!$B$259;2);PANGKAT(Normalisasi!$K$46-Konvergensi!$C$259;2);PANGKAT(Normalisasi!$L$46-Konvergensi!$D$259;2);PANGKAT(Normalisasi!$M$46-Konvergensi!$E$259;2);PANGKAT(Normalisasi!$N$46-Konvergensi!$F$259;2);PANGKAT(Normalisasi!$O$46-Konvergensi!$G$259;2);PANGKAT(Normalisasi!$P$46-Konvergensi!$H$259;2)))</f>
        <v/>
      </c>
      <c r="D315">
        <f>AKAR(JUMLAH(PANGKAT(Normalisasi!$J$46-Konvergensi!$B$260;2);PANGKAT(Normalisasi!$K$46-Konvergensi!$C$260;2);PANGKAT(Normalisasi!$L$46-Konvergensi!$D$260;2);PANGKAT(Normalisasi!$M$46-Konvergensi!$E$260;2);PANGKAT(Normalisasi!$N$46-Konvergensi!$F$260;2);PANGKAT(Normalisasi!$O$46-Konvergensi!$G$260;2);PANGKAT(Normalisasi!$P$46-Konvergensi!$H$260;2)))</f>
        <v/>
      </c>
      <c r="E315">
        <f>AKAR(JUMLAH(PANGKAT(Normalisasi!$J$46-Konvergensi!$B$261;2);PANGKAT(Normalisasi!$K$46-Konvergensi!$C$261;2);PANGKAT(Normalisasi!$L$46-Konvergensi!$D$261;2);PANGKAT(Normalisasi!$M$46-Konvergensi!$E$261;2);PANGKAT(Normalisasi!$N$46-Konvergensi!$F$261;2);PANGKAT(Normalisasi!$O$46-Konvergensi!$G$261;2);PANGKAT(Normalisasi!$P$46-Konvergensi!$H$261;2)))</f>
        <v/>
      </c>
      <c r="F315">
        <f>JIKA(C315&lt;=D315;=JIKA(C315&lt;=E315;0;2);=JIKA(D315&lt;=E315;1;2))</f>
        <v/>
      </c>
      <c r="G315">
        <f>JUMLAH(JIKA(F315=0;JUMLAH(PANGKAT(Normalisasi!$J$46-Konvergensi!$B$324;2);PANGKAT(Normalisasi!$K$46-Konvergensi!$C$324;2);PANGKAT(Normalisasi!$L$46-Konvergensi!$D$324;2);PANGKAT(Normalisasi!$M$46-Konvergensi!$E$324;2);PANGKAT(Normalisasi!$N$46-Konvergensi!$F$324;2);PANGKAT(Normalisasi!$O$46-Konvergensi!$G$324;2);PANGKAT(Normalisasi!$P$46-Konvergensi!$H$324;2));0);JIKA(F315=1;JUMLAH(PANGKAT(Normalisasi!$J$46-Konvergensi!$B$325;2);PANGKAT(Normalisasi!$K$46-Konvergensi!$C$325;2);PANGKAT(Normalisasi!$L$46-Konvergensi!$D$325;2);PANGKAT(Normalisasi!$M$46-Konvergensi!$E$325;2);PANGKAT(Normalisasi!$N$46-Konvergensi!$F$325;2);PANGKAT(Normalisasi!$O$46-Konvergensi!$G$325;2);PANGKAT(Normalisasi!$P$46-Konvergensi!$H$325;2));0);JIKA(F315=2;JUMLAH(PANGKAT(Normalisasi!$J$46-Konvergensi!$B$326;2);PANGKAT(Normalisasi!$K$46-Konvergensi!$C$326;2);PANGKAT(Normalisasi!$L$46-Konvergensi!$D$326;2);PANGKAT(Normalisasi!$M$46-Konvergensi!$E$326;2);PANGKAT(Normalisasi!$N$46-Konvergensi!$F$326;2);PANGKAT(Normalisasi!$O$46-Konvergensi!$G$326;2);PANGKAT(Normalisasi!$P$46-Konvergensi!$H$326;2));0))</f>
        <v/>
      </c>
      <c r="H315" t="n">
        <v>2</v>
      </c>
      <c r="I315" t="n">
        <v>5.219794326524238</v>
      </c>
    </row>
    <row r="316">
      <c r="A316">
        <f>Data_Awal!A47</f>
        <v/>
      </c>
      <c r="B316">
        <f>Data_Awal!B47</f>
        <v/>
      </c>
      <c r="C316">
        <f>AKAR(JUMLAH(PANGKAT(Normalisasi!$J$47-Konvergensi!$B$259;2);PANGKAT(Normalisasi!$K$47-Konvergensi!$C$259;2);PANGKAT(Normalisasi!$L$47-Konvergensi!$D$259;2);PANGKAT(Normalisasi!$M$47-Konvergensi!$E$259;2);PANGKAT(Normalisasi!$N$47-Konvergensi!$F$259;2);PANGKAT(Normalisasi!$O$47-Konvergensi!$G$259;2);PANGKAT(Normalisasi!$P$47-Konvergensi!$H$259;2)))</f>
        <v/>
      </c>
      <c r="D316">
        <f>AKAR(JUMLAH(PANGKAT(Normalisasi!$J$47-Konvergensi!$B$260;2);PANGKAT(Normalisasi!$K$47-Konvergensi!$C$260;2);PANGKAT(Normalisasi!$L$47-Konvergensi!$D$260;2);PANGKAT(Normalisasi!$M$47-Konvergensi!$E$260;2);PANGKAT(Normalisasi!$N$47-Konvergensi!$F$260;2);PANGKAT(Normalisasi!$O$47-Konvergensi!$G$260;2);PANGKAT(Normalisasi!$P$47-Konvergensi!$H$260;2)))</f>
        <v/>
      </c>
      <c r="E316">
        <f>AKAR(JUMLAH(PANGKAT(Normalisasi!$J$47-Konvergensi!$B$261;2);PANGKAT(Normalisasi!$K$47-Konvergensi!$C$261;2);PANGKAT(Normalisasi!$L$47-Konvergensi!$D$261;2);PANGKAT(Normalisasi!$M$47-Konvergensi!$E$261;2);PANGKAT(Normalisasi!$N$47-Konvergensi!$F$261;2);PANGKAT(Normalisasi!$O$47-Konvergensi!$G$261;2);PANGKAT(Normalisasi!$P$47-Konvergensi!$H$261;2)))</f>
        <v/>
      </c>
      <c r="F316">
        <f>JIKA(C316&lt;=D316;=JIKA(C316&lt;=E316;0;2);=JIKA(D316&lt;=E316;1;2))</f>
        <v/>
      </c>
      <c r="G316">
        <f>JUMLAH(JIKA(F316=0;JUMLAH(PANGKAT(Normalisasi!$J$47-Konvergensi!$B$324;2);PANGKAT(Normalisasi!$K$47-Konvergensi!$C$324;2);PANGKAT(Normalisasi!$L$47-Konvergensi!$D$324;2);PANGKAT(Normalisasi!$M$47-Konvergensi!$E$324;2);PANGKAT(Normalisasi!$N$47-Konvergensi!$F$324;2);PANGKAT(Normalisasi!$O$47-Konvergensi!$G$324;2);PANGKAT(Normalisasi!$P$47-Konvergensi!$H$324;2));0);JIKA(F316=1;JUMLAH(PANGKAT(Normalisasi!$J$47-Konvergensi!$B$325;2);PANGKAT(Normalisasi!$K$47-Konvergensi!$C$325;2);PANGKAT(Normalisasi!$L$47-Konvergensi!$D$325;2);PANGKAT(Normalisasi!$M$47-Konvergensi!$E$325;2);PANGKAT(Normalisasi!$N$47-Konvergensi!$F$325;2);PANGKAT(Normalisasi!$O$47-Konvergensi!$G$325;2);PANGKAT(Normalisasi!$P$47-Konvergensi!$H$325;2));0);JIKA(F316=2;JUMLAH(PANGKAT(Normalisasi!$J$47-Konvergensi!$B$326;2);PANGKAT(Normalisasi!$K$47-Konvergensi!$C$326;2);PANGKAT(Normalisasi!$L$47-Konvergensi!$D$326;2);PANGKAT(Normalisasi!$M$47-Konvergensi!$E$326;2);PANGKAT(Normalisasi!$N$47-Konvergensi!$F$326;2);PANGKAT(Normalisasi!$O$47-Konvergensi!$G$326;2);PANGKAT(Normalisasi!$P$47-Konvergensi!$H$326;2));0))</f>
        <v/>
      </c>
      <c r="H316" t="n">
        <v>2</v>
      </c>
      <c r="I316" t="n">
        <v>1.850863215327287</v>
      </c>
    </row>
    <row r="317">
      <c r="A317">
        <f>Data_Awal!A48</f>
        <v/>
      </c>
      <c r="B317">
        <f>Data_Awal!B48</f>
        <v/>
      </c>
      <c r="C317">
        <f>AKAR(JUMLAH(PANGKAT(Normalisasi!$J$48-Konvergensi!$B$259;2);PANGKAT(Normalisasi!$K$48-Konvergensi!$C$259;2);PANGKAT(Normalisasi!$L$48-Konvergensi!$D$259;2);PANGKAT(Normalisasi!$M$48-Konvergensi!$E$259;2);PANGKAT(Normalisasi!$N$48-Konvergensi!$F$259;2);PANGKAT(Normalisasi!$O$48-Konvergensi!$G$259;2);PANGKAT(Normalisasi!$P$48-Konvergensi!$H$259;2)))</f>
        <v/>
      </c>
      <c r="D317">
        <f>AKAR(JUMLAH(PANGKAT(Normalisasi!$J$48-Konvergensi!$B$260;2);PANGKAT(Normalisasi!$K$48-Konvergensi!$C$260;2);PANGKAT(Normalisasi!$L$48-Konvergensi!$D$260;2);PANGKAT(Normalisasi!$M$48-Konvergensi!$E$260;2);PANGKAT(Normalisasi!$N$48-Konvergensi!$F$260;2);PANGKAT(Normalisasi!$O$48-Konvergensi!$G$260;2);PANGKAT(Normalisasi!$P$48-Konvergensi!$H$260;2)))</f>
        <v/>
      </c>
      <c r="E317">
        <f>AKAR(JUMLAH(PANGKAT(Normalisasi!$J$48-Konvergensi!$B$261;2);PANGKAT(Normalisasi!$K$48-Konvergensi!$C$261;2);PANGKAT(Normalisasi!$L$48-Konvergensi!$D$261;2);PANGKAT(Normalisasi!$M$48-Konvergensi!$E$261;2);PANGKAT(Normalisasi!$N$48-Konvergensi!$F$261;2);PANGKAT(Normalisasi!$O$48-Konvergensi!$G$261;2);PANGKAT(Normalisasi!$P$48-Konvergensi!$H$261;2)))</f>
        <v/>
      </c>
      <c r="F317">
        <f>JIKA(C317&lt;=D317;=JIKA(C317&lt;=E317;0;2);=JIKA(D317&lt;=E317;1;2))</f>
        <v/>
      </c>
      <c r="G317">
        <f>JUMLAH(JIKA(F317=0;JUMLAH(PANGKAT(Normalisasi!$J$48-Konvergensi!$B$324;2);PANGKAT(Normalisasi!$K$48-Konvergensi!$C$324;2);PANGKAT(Normalisasi!$L$48-Konvergensi!$D$324;2);PANGKAT(Normalisasi!$M$48-Konvergensi!$E$324;2);PANGKAT(Normalisasi!$N$48-Konvergensi!$F$324;2);PANGKAT(Normalisasi!$O$48-Konvergensi!$G$324;2);PANGKAT(Normalisasi!$P$48-Konvergensi!$H$324;2));0);JIKA(F317=1;JUMLAH(PANGKAT(Normalisasi!$J$48-Konvergensi!$B$325;2);PANGKAT(Normalisasi!$K$48-Konvergensi!$C$325;2);PANGKAT(Normalisasi!$L$48-Konvergensi!$D$325;2);PANGKAT(Normalisasi!$M$48-Konvergensi!$E$325;2);PANGKAT(Normalisasi!$N$48-Konvergensi!$F$325;2);PANGKAT(Normalisasi!$O$48-Konvergensi!$G$325;2);PANGKAT(Normalisasi!$P$48-Konvergensi!$H$325;2));0);JIKA(F317=2;JUMLAH(PANGKAT(Normalisasi!$J$48-Konvergensi!$B$326;2);PANGKAT(Normalisasi!$K$48-Konvergensi!$C$326;2);PANGKAT(Normalisasi!$L$48-Konvergensi!$D$326;2);PANGKAT(Normalisasi!$M$48-Konvergensi!$E$326;2);PANGKAT(Normalisasi!$N$48-Konvergensi!$F$326;2);PANGKAT(Normalisasi!$O$48-Konvergensi!$G$326;2);PANGKAT(Normalisasi!$P$48-Konvergensi!$H$326;2));0))</f>
        <v/>
      </c>
      <c r="H317" t="n">
        <v>1</v>
      </c>
      <c r="I317" t="n">
        <v>2.515310562387401</v>
      </c>
    </row>
    <row r="318">
      <c r="A318">
        <f>Data_Awal!A49</f>
        <v/>
      </c>
      <c r="B318">
        <f>Data_Awal!B49</f>
        <v/>
      </c>
      <c r="C318">
        <f>AKAR(JUMLAH(PANGKAT(Normalisasi!$J$49-Konvergensi!$B$259;2);PANGKAT(Normalisasi!$K$49-Konvergensi!$C$259;2);PANGKAT(Normalisasi!$L$49-Konvergensi!$D$259;2);PANGKAT(Normalisasi!$M$49-Konvergensi!$E$259;2);PANGKAT(Normalisasi!$N$49-Konvergensi!$F$259;2);PANGKAT(Normalisasi!$O$49-Konvergensi!$G$259;2);PANGKAT(Normalisasi!$P$49-Konvergensi!$H$259;2)))</f>
        <v/>
      </c>
      <c r="D318">
        <f>AKAR(JUMLAH(PANGKAT(Normalisasi!$J$49-Konvergensi!$B$260;2);PANGKAT(Normalisasi!$K$49-Konvergensi!$C$260;2);PANGKAT(Normalisasi!$L$49-Konvergensi!$D$260;2);PANGKAT(Normalisasi!$M$49-Konvergensi!$E$260;2);PANGKAT(Normalisasi!$N$49-Konvergensi!$F$260;2);PANGKAT(Normalisasi!$O$49-Konvergensi!$G$260;2);PANGKAT(Normalisasi!$P$49-Konvergensi!$H$260;2)))</f>
        <v/>
      </c>
      <c r="E318">
        <f>AKAR(JUMLAH(PANGKAT(Normalisasi!$J$49-Konvergensi!$B$261;2);PANGKAT(Normalisasi!$K$49-Konvergensi!$C$261;2);PANGKAT(Normalisasi!$L$49-Konvergensi!$D$261;2);PANGKAT(Normalisasi!$M$49-Konvergensi!$E$261;2);PANGKAT(Normalisasi!$N$49-Konvergensi!$F$261;2);PANGKAT(Normalisasi!$O$49-Konvergensi!$G$261;2);PANGKAT(Normalisasi!$P$49-Konvergensi!$H$261;2)))</f>
        <v/>
      </c>
      <c r="F318">
        <f>JIKA(C318&lt;=D318;=JIKA(C318&lt;=E318;0;2);=JIKA(D318&lt;=E318;1;2))</f>
        <v/>
      </c>
      <c r="G318">
        <f>JUMLAH(JIKA(F318=0;JUMLAH(PANGKAT(Normalisasi!$J$49-Konvergensi!$B$324;2);PANGKAT(Normalisasi!$K$49-Konvergensi!$C$324;2);PANGKAT(Normalisasi!$L$49-Konvergensi!$D$324;2);PANGKAT(Normalisasi!$M$49-Konvergensi!$E$324;2);PANGKAT(Normalisasi!$N$49-Konvergensi!$F$324;2);PANGKAT(Normalisasi!$O$49-Konvergensi!$G$324;2);PANGKAT(Normalisasi!$P$49-Konvergensi!$H$324;2));0);JIKA(F318=1;JUMLAH(PANGKAT(Normalisasi!$J$49-Konvergensi!$B$325;2);PANGKAT(Normalisasi!$K$49-Konvergensi!$C$325;2);PANGKAT(Normalisasi!$L$49-Konvergensi!$D$325;2);PANGKAT(Normalisasi!$M$49-Konvergensi!$E$325;2);PANGKAT(Normalisasi!$N$49-Konvergensi!$F$325;2);PANGKAT(Normalisasi!$O$49-Konvergensi!$G$325;2);PANGKAT(Normalisasi!$P$49-Konvergensi!$H$325;2));0);JIKA(F318=2;JUMLAH(PANGKAT(Normalisasi!$J$49-Konvergensi!$B$326;2);PANGKAT(Normalisasi!$K$49-Konvergensi!$C$326;2);PANGKAT(Normalisasi!$L$49-Konvergensi!$D$326;2);PANGKAT(Normalisasi!$M$49-Konvergensi!$E$326;2);PANGKAT(Normalisasi!$N$49-Konvergensi!$F$326;2);PANGKAT(Normalisasi!$O$49-Konvergensi!$G$326;2);PANGKAT(Normalisasi!$P$49-Konvergensi!$H$326;2));0))</f>
        <v/>
      </c>
      <c r="H318" t="n">
        <v>0</v>
      </c>
      <c r="I318" t="n">
        <v>2.501189442338138</v>
      </c>
    </row>
    <row r="319">
      <c r="A319">
        <f>Data_Awal!A50</f>
        <v/>
      </c>
      <c r="B319">
        <f>Data_Awal!B50</f>
        <v/>
      </c>
      <c r="C319">
        <f>AKAR(JUMLAH(PANGKAT(Normalisasi!$J$50-Konvergensi!$B$259;2);PANGKAT(Normalisasi!$K$50-Konvergensi!$C$259;2);PANGKAT(Normalisasi!$L$50-Konvergensi!$D$259;2);PANGKAT(Normalisasi!$M$50-Konvergensi!$E$259;2);PANGKAT(Normalisasi!$N$50-Konvergensi!$F$259;2);PANGKAT(Normalisasi!$O$50-Konvergensi!$G$259;2);PANGKAT(Normalisasi!$P$50-Konvergensi!$H$259;2)))</f>
        <v/>
      </c>
      <c r="D319">
        <f>AKAR(JUMLAH(PANGKAT(Normalisasi!$J$50-Konvergensi!$B$260;2);PANGKAT(Normalisasi!$K$50-Konvergensi!$C$260;2);PANGKAT(Normalisasi!$L$50-Konvergensi!$D$260;2);PANGKAT(Normalisasi!$M$50-Konvergensi!$E$260;2);PANGKAT(Normalisasi!$N$50-Konvergensi!$F$260;2);PANGKAT(Normalisasi!$O$50-Konvergensi!$G$260;2);PANGKAT(Normalisasi!$P$50-Konvergensi!$H$260;2)))</f>
        <v/>
      </c>
      <c r="E319">
        <f>AKAR(JUMLAH(PANGKAT(Normalisasi!$J$50-Konvergensi!$B$261;2);PANGKAT(Normalisasi!$K$50-Konvergensi!$C$261;2);PANGKAT(Normalisasi!$L$50-Konvergensi!$D$261;2);PANGKAT(Normalisasi!$M$50-Konvergensi!$E$261;2);PANGKAT(Normalisasi!$N$50-Konvergensi!$F$261;2);PANGKAT(Normalisasi!$O$50-Konvergensi!$G$261;2);PANGKAT(Normalisasi!$P$50-Konvergensi!$H$261;2)))</f>
        <v/>
      </c>
      <c r="F319">
        <f>JIKA(C319&lt;=D319;=JIKA(C319&lt;=E319;0;2);=JIKA(D319&lt;=E319;1;2))</f>
        <v/>
      </c>
      <c r="G319">
        <f>JUMLAH(JIKA(F319=0;JUMLAH(PANGKAT(Normalisasi!$J$50-Konvergensi!$B$324;2);PANGKAT(Normalisasi!$K$50-Konvergensi!$C$324;2);PANGKAT(Normalisasi!$L$50-Konvergensi!$D$324;2);PANGKAT(Normalisasi!$M$50-Konvergensi!$E$324;2);PANGKAT(Normalisasi!$N$50-Konvergensi!$F$324;2);PANGKAT(Normalisasi!$O$50-Konvergensi!$G$324;2);PANGKAT(Normalisasi!$P$50-Konvergensi!$H$324;2));0);JIKA(F319=1;JUMLAH(PANGKAT(Normalisasi!$J$50-Konvergensi!$B$325;2);PANGKAT(Normalisasi!$K$50-Konvergensi!$C$325;2);PANGKAT(Normalisasi!$L$50-Konvergensi!$D$325;2);PANGKAT(Normalisasi!$M$50-Konvergensi!$E$325;2);PANGKAT(Normalisasi!$N$50-Konvergensi!$F$325;2);PANGKAT(Normalisasi!$O$50-Konvergensi!$G$325;2);PANGKAT(Normalisasi!$P$50-Konvergensi!$H$325;2));0);JIKA(F319=2;JUMLAH(PANGKAT(Normalisasi!$J$50-Konvergensi!$B$326;2);PANGKAT(Normalisasi!$K$50-Konvergensi!$C$326;2);PANGKAT(Normalisasi!$L$50-Konvergensi!$D$326;2);PANGKAT(Normalisasi!$M$50-Konvergensi!$E$326;2);PANGKAT(Normalisasi!$N$50-Konvergensi!$F$326;2);PANGKAT(Normalisasi!$O$50-Konvergensi!$G$326;2);PANGKAT(Normalisasi!$P$50-Konvergensi!$H$326;2));0))</f>
        <v/>
      </c>
      <c r="H319" t="n">
        <v>0</v>
      </c>
      <c r="I319" t="n">
        <v>3.932480579421084</v>
      </c>
    </row>
    <row r="320">
      <c r="A320">
        <f>Data_Awal!A51</f>
        <v/>
      </c>
      <c r="B320">
        <f>Data_Awal!B51</f>
        <v/>
      </c>
      <c r="C320">
        <f>AKAR(JUMLAH(PANGKAT(Normalisasi!$J$51-Konvergensi!$B$259;2);PANGKAT(Normalisasi!$K$51-Konvergensi!$C$259;2);PANGKAT(Normalisasi!$L$51-Konvergensi!$D$259;2);PANGKAT(Normalisasi!$M$51-Konvergensi!$E$259;2);PANGKAT(Normalisasi!$N$51-Konvergensi!$F$259;2);PANGKAT(Normalisasi!$O$51-Konvergensi!$G$259;2);PANGKAT(Normalisasi!$P$51-Konvergensi!$H$259;2)))</f>
        <v/>
      </c>
      <c r="D320">
        <f>AKAR(JUMLAH(PANGKAT(Normalisasi!$J$51-Konvergensi!$B$260;2);PANGKAT(Normalisasi!$K$51-Konvergensi!$C$260;2);PANGKAT(Normalisasi!$L$51-Konvergensi!$D$260;2);PANGKAT(Normalisasi!$M$51-Konvergensi!$E$260;2);PANGKAT(Normalisasi!$N$51-Konvergensi!$F$260;2);PANGKAT(Normalisasi!$O$51-Konvergensi!$G$260;2);PANGKAT(Normalisasi!$P$51-Konvergensi!$H$260;2)))</f>
        <v/>
      </c>
      <c r="E320">
        <f>AKAR(JUMLAH(PANGKAT(Normalisasi!$J$51-Konvergensi!$B$261;2);PANGKAT(Normalisasi!$K$51-Konvergensi!$C$261;2);PANGKAT(Normalisasi!$L$51-Konvergensi!$D$261;2);PANGKAT(Normalisasi!$M$51-Konvergensi!$E$261;2);PANGKAT(Normalisasi!$N$51-Konvergensi!$F$261;2);PANGKAT(Normalisasi!$O$51-Konvergensi!$G$261;2);PANGKAT(Normalisasi!$P$51-Konvergensi!$H$261;2)))</f>
        <v/>
      </c>
      <c r="F320">
        <f>JIKA(C320&lt;=D320;=JIKA(C320&lt;=E320;0;2);=JIKA(D320&lt;=E320;1;2))</f>
        <v/>
      </c>
      <c r="G320">
        <f>JUMLAH(JIKA(F320=0;JUMLAH(PANGKAT(Normalisasi!$J$51-Konvergensi!$B$324;2);PANGKAT(Normalisasi!$K$51-Konvergensi!$C$324;2);PANGKAT(Normalisasi!$L$51-Konvergensi!$D$324;2);PANGKAT(Normalisasi!$M$51-Konvergensi!$E$324;2);PANGKAT(Normalisasi!$N$51-Konvergensi!$F$324;2);PANGKAT(Normalisasi!$O$51-Konvergensi!$G$324;2);PANGKAT(Normalisasi!$P$51-Konvergensi!$H$324;2));0);JIKA(F320=1;JUMLAH(PANGKAT(Normalisasi!$J$51-Konvergensi!$B$325;2);PANGKAT(Normalisasi!$K$51-Konvergensi!$C$325;2);PANGKAT(Normalisasi!$L$51-Konvergensi!$D$325;2);PANGKAT(Normalisasi!$M$51-Konvergensi!$E$325;2);PANGKAT(Normalisasi!$N$51-Konvergensi!$F$325;2);PANGKAT(Normalisasi!$O$51-Konvergensi!$G$325;2);PANGKAT(Normalisasi!$P$51-Konvergensi!$H$325;2));0);JIKA(F320=2;JUMLAH(PANGKAT(Normalisasi!$J$51-Konvergensi!$B$326;2);PANGKAT(Normalisasi!$K$51-Konvergensi!$C$326;2);PANGKAT(Normalisasi!$L$51-Konvergensi!$D$326;2);PANGKAT(Normalisasi!$M$51-Konvergensi!$E$326;2);PANGKAT(Normalisasi!$N$51-Konvergensi!$F$326;2);PANGKAT(Normalisasi!$O$51-Konvergensi!$G$326;2);PANGKAT(Normalisasi!$P$51-Konvergensi!$H$326;2));0))</f>
        <v/>
      </c>
      <c r="H320" t="n">
        <v>2</v>
      </c>
      <c r="I320" t="n">
        <v>3.440638195126142</v>
      </c>
    </row>
    <row r="322">
      <c r="A322" s="4" t="inlineStr">
        <is>
          <t>Centroid baru setelah iter 5</t>
        </is>
      </c>
    </row>
    <row r="323">
      <c r="A323" t="inlineStr">
        <is>
          <t>Cluster</t>
        </is>
      </c>
      <c r="B323" s="1" t="inlineStr">
        <is>
          <t>Z Latitude</t>
        </is>
      </c>
      <c r="C323" s="1" t="inlineStr">
        <is>
          <t>Z Longitude</t>
        </is>
      </c>
      <c r="D323" s="1" t="inlineStr">
        <is>
          <t>Z Semantic Score</t>
        </is>
      </c>
      <c r="E323" s="1" t="inlineStr">
        <is>
          <t>Z Jarak Hotel (m)</t>
        </is>
      </c>
      <c r="F323" s="1" t="inlineStr">
        <is>
          <t>Z Jarak Halte (m)</t>
        </is>
      </c>
      <c r="G323" s="1" t="inlineStr">
        <is>
          <t>Z Restoran 500m</t>
        </is>
      </c>
      <c r="H323" s="1" t="inlineStr">
        <is>
          <t>Z Minimarket 500m</t>
        </is>
      </c>
    </row>
    <row r="324">
      <c r="A324" t="inlineStr">
        <is>
          <t>C0</t>
        </is>
      </c>
      <c r="B324">
        <f>RATA.RATA.JIKA($F$271:$F$320;0;Normalisasi!$J$2:$J$51)</f>
        <v/>
      </c>
      <c r="C324">
        <f>RATA.RATA.JIKA($F$271:$F$320;0;Normalisasi!$K$2:$K$51)</f>
        <v/>
      </c>
      <c r="D324">
        <f>RATA.RATA.JIKA($F$271:$F$320;0;Normalisasi!$L$2:$L$51)</f>
        <v/>
      </c>
      <c r="E324">
        <f>RATA.RATA.JIKA($F$271:$F$320;0;Normalisasi!$M$2:$M$51)</f>
        <v/>
      </c>
      <c r="F324">
        <f>RATA.RATA.JIKA($F$271:$F$320;0;Normalisasi!$N$2:$N$51)</f>
        <v/>
      </c>
      <c r="G324">
        <f>RATA.RATA.JIKA($F$271:$F$320;0;Normalisasi!$O$2:$O$51)</f>
        <v/>
      </c>
      <c r="H324">
        <f>RATA.RATA.JIKA($F$271:$F$320;0;Normalisasi!$P$2:$P$51)</f>
        <v/>
      </c>
      <c r="J324" t="n">
        <v>-0.2775977055903</v>
      </c>
      <c r="K324" t="n">
        <v>-0.07128265830477919</v>
      </c>
      <c r="L324" t="n">
        <v>-0.1366577985069555</v>
      </c>
      <c r="M324" t="n">
        <v>-0.4905038873596791</v>
      </c>
      <c r="N324" t="n">
        <v>-0.4919729157461437</v>
      </c>
      <c r="O324" t="n">
        <v>-0.4411824025559837</v>
      </c>
      <c r="P324" t="n">
        <v>0.1757828961885651</v>
      </c>
    </row>
    <row r="325">
      <c r="A325" t="inlineStr">
        <is>
          <t>C1</t>
        </is>
      </c>
      <c r="B325">
        <f>RATA.RATA.JIKA($F$271:$F$320;1;Normalisasi!$J$2:$J$51)</f>
        <v/>
      </c>
      <c r="C325">
        <f>RATA.RATA.JIKA($F$271:$F$320;1;Normalisasi!$K$2:$K$51)</f>
        <v/>
      </c>
      <c r="D325">
        <f>RATA.RATA.JIKA($F$271:$F$320;1;Normalisasi!$L$2:$L$51)</f>
        <v/>
      </c>
      <c r="E325">
        <f>RATA.RATA.JIKA($F$271:$F$320;1;Normalisasi!$M$2:$M$51)</f>
        <v/>
      </c>
      <c r="F325">
        <f>RATA.RATA.JIKA($F$271:$F$320;1;Normalisasi!$N$2:$N$51)</f>
        <v/>
      </c>
      <c r="G325">
        <f>RATA.RATA.JIKA($F$271:$F$320;1;Normalisasi!$O$2:$O$51)</f>
        <v/>
      </c>
      <c r="H325">
        <f>RATA.RATA.JIKA($F$271:$F$320;1;Normalisasi!$P$2:$P$51)</f>
        <v/>
      </c>
      <c r="J325" t="n">
        <v>-0.1657279022145444</v>
      </c>
      <c r="K325" t="n">
        <v>0.1758635709175079</v>
      </c>
      <c r="L325" t="n">
        <v>0.2854088392484354</v>
      </c>
      <c r="M325" t="n">
        <v>0.5638900772964751</v>
      </c>
      <c r="N325" t="n">
        <v>1.046607242724782</v>
      </c>
      <c r="O325" t="n">
        <v>0.2611416055903919</v>
      </c>
      <c r="P325" t="n">
        <v>-0.8598521435832207</v>
      </c>
    </row>
    <row r="326">
      <c r="A326" t="inlineStr">
        <is>
          <t>C2</t>
        </is>
      </c>
      <c r="B326">
        <f>RATA.RATA.JIKA($F$271:$F$320;2;Normalisasi!$J$2:$J$51)</f>
        <v/>
      </c>
      <c r="C326">
        <f>RATA.RATA.JIKA($F$271:$F$320;2;Normalisasi!$K$2:$K$51)</f>
        <v/>
      </c>
      <c r="D326">
        <f>RATA.RATA.JIKA($F$271:$F$320;2;Normalisasi!$L$2:$L$51)</f>
        <v/>
      </c>
      <c r="E326">
        <f>RATA.RATA.JIKA($F$271:$F$320;2;Normalisasi!$M$2:$M$51)</f>
        <v/>
      </c>
      <c r="F326">
        <f>RATA.RATA.JIKA($F$271:$F$320;2;Normalisasi!$N$2:$N$51)</f>
        <v/>
      </c>
      <c r="G326">
        <f>RATA.RATA.JIKA($F$271:$F$320;2;Normalisasi!$O$2:$O$51)</f>
        <v/>
      </c>
      <c r="H326">
        <f>RATA.RATA.JIKA($F$271:$F$320;2;Normalisasi!$P$2:$P$51)</f>
        <v/>
      </c>
      <c r="J326" t="n">
        <v>1.078162097618496</v>
      </c>
      <c r="K326" t="n">
        <v>-0.087178271981456</v>
      </c>
      <c r="L326" t="n">
        <v>-0.08089220306063569</v>
      </c>
      <c r="M326" t="n">
        <v>0.4771944346560588</v>
      </c>
      <c r="N326" t="n">
        <v>-0.3230903146080013</v>
      </c>
      <c r="O326" t="n">
        <v>0.8392909313999661</v>
      </c>
      <c r="P326" t="n">
        <v>0.9252696503161805</v>
      </c>
    </row>
    <row r="328">
      <c r="A328" t="inlineStr">
        <is>
          <t>Total WCSS (Excel)</t>
        </is>
      </c>
      <c r="B328">
        <f>JUMLAH($G$271:$G$320)</f>
        <v/>
      </c>
    </row>
    <row r="329">
      <c r="A329" t="inlineStr">
        <is>
          <t>Total WCSS (Python)</t>
        </is>
      </c>
      <c r="B329" t="n">
        <v>265.932080232526</v>
      </c>
    </row>
    <row r="330">
      <c r="A330" t="inlineStr">
        <is>
          <t>Selisih WCSS</t>
        </is>
      </c>
      <c r="B330">
        <f>ABS(B328-B329)</f>
        <v/>
      </c>
    </row>
    <row r="331">
      <c r="A331" t="inlineStr">
        <is>
          <t>Label berubah?</t>
        </is>
      </c>
      <c r="B331">
        <f>JIKA(JUMLAH(JIKA($F$271:$F$320&lt;&gt;$F$271:$F$320;1;0))=0;"Tidak";"Ya")</f>
        <v/>
      </c>
    </row>
    <row r="332">
      <c r="A332" t="inlineStr">
        <is>
          <t>Max shift centroid</t>
        </is>
      </c>
      <c r="B332" t="n">
        <v>0.1303507437307425</v>
      </c>
    </row>
    <row r="334">
      <c r="A334" s="4" t="inlineStr">
        <is>
          <t>ITER 6 — Assignment &amp; Centroid Baru</t>
        </is>
      </c>
    </row>
    <row r="335">
      <c r="A335" s="1" t="inlineStr">
        <is>
          <t>POI ID</t>
        </is>
      </c>
      <c r="B335" s="1" t="inlineStr">
        <is>
          <t>Nama</t>
        </is>
      </c>
      <c r="C335" s="1" t="inlineStr">
        <is>
          <t>d(C0)</t>
        </is>
      </c>
      <c r="D335" s="1" t="inlineStr">
        <is>
          <t>d(C1)</t>
        </is>
      </c>
      <c r="E335" s="1" t="inlineStr">
        <is>
          <t>d(C2)</t>
        </is>
      </c>
      <c r="F335" s="1" t="inlineStr">
        <is>
          <t>Cluster</t>
        </is>
      </c>
      <c r="G335" s="1" t="inlineStr">
        <is>
          <t>WCSS POI</t>
        </is>
      </c>
      <c r="H335" s="1" t="inlineStr">
        <is>
          <t>Py Cluster</t>
        </is>
      </c>
      <c r="I335" s="1" t="inlineStr">
        <is>
          <t>Py WCSS</t>
        </is>
      </c>
    </row>
    <row r="336">
      <c r="A336">
        <f>Data_Awal!A2</f>
        <v/>
      </c>
      <c r="B336">
        <f>Data_Awal!B2</f>
        <v/>
      </c>
      <c r="C336">
        <f>AKAR(JUMLAH(PANGKAT(Normalisasi!$J$2-Konvergensi!$B$324;2);PANGKAT(Normalisasi!$K$2-Konvergensi!$C$324;2);PANGKAT(Normalisasi!$L$2-Konvergensi!$D$324;2);PANGKAT(Normalisasi!$M$2-Konvergensi!$E$324;2);PANGKAT(Normalisasi!$N$2-Konvergensi!$F$324;2);PANGKAT(Normalisasi!$O$2-Konvergensi!$G$324;2);PANGKAT(Normalisasi!$P$2-Konvergensi!$H$324;2)))</f>
        <v/>
      </c>
      <c r="D336">
        <f>AKAR(JUMLAH(PANGKAT(Normalisasi!$J$2-Konvergensi!$B$325;2);PANGKAT(Normalisasi!$K$2-Konvergensi!$C$325;2);PANGKAT(Normalisasi!$L$2-Konvergensi!$D$325;2);PANGKAT(Normalisasi!$M$2-Konvergensi!$E$325;2);PANGKAT(Normalisasi!$N$2-Konvergensi!$F$325;2);PANGKAT(Normalisasi!$O$2-Konvergensi!$G$325;2);PANGKAT(Normalisasi!$P$2-Konvergensi!$H$325;2)))</f>
        <v/>
      </c>
      <c r="E336">
        <f>AKAR(JUMLAH(PANGKAT(Normalisasi!$J$2-Konvergensi!$B$326;2);PANGKAT(Normalisasi!$K$2-Konvergensi!$C$326;2);PANGKAT(Normalisasi!$L$2-Konvergensi!$D$326;2);PANGKAT(Normalisasi!$M$2-Konvergensi!$E$326;2);PANGKAT(Normalisasi!$N$2-Konvergensi!$F$326;2);PANGKAT(Normalisasi!$O$2-Konvergensi!$G$326;2);PANGKAT(Normalisasi!$P$2-Konvergensi!$H$326;2)))</f>
        <v/>
      </c>
      <c r="F336">
        <f>JIKA(C336&lt;=D336;=JIKA(C336&lt;=E336;0;2);=JIKA(D336&lt;=E336;1;2))</f>
        <v/>
      </c>
      <c r="G336">
        <f>JUMLAH(JIKA(F336=0;JUMLAH(PANGKAT(Normalisasi!$J$2-Konvergensi!$B$389;2);PANGKAT(Normalisasi!$K$2-Konvergensi!$C$389;2);PANGKAT(Normalisasi!$L$2-Konvergensi!$D$389;2);PANGKAT(Normalisasi!$M$2-Konvergensi!$E$389;2);PANGKAT(Normalisasi!$N$2-Konvergensi!$F$389;2);PANGKAT(Normalisasi!$O$2-Konvergensi!$G$389;2);PANGKAT(Normalisasi!$P$2-Konvergensi!$H$389;2));0);JIKA(F336=1;JUMLAH(PANGKAT(Normalisasi!$J$2-Konvergensi!$B$390;2);PANGKAT(Normalisasi!$K$2-Konvergensi!$C$390;2);PANGKAT(Normalisasi!$L$2-Konvergensi!$D$390;2);PANGKAT(Normalisasi!$M$2-Konvergensi!$E$390;2);PANGKAT(Normalisasi!$N$2-Konvergensi!$F$390;2);PANGKAT(Normalisasi!$O$2-Konvergensi!$G$390;2);PANGKAT(Normalisasi!$P$2-Konvergensi!$H$390;2));0);JIKA(F336=2;JUMLAH(PANGKAT(Normalisasi!$J$2-Konvergensi!$B$391;2);PANGKAT(Normalisasi!$K$2-Konvergensi!$C$391;2);PANGKAT(Normalisasi!$L$2-Konvergensi!$D$391;2);PANGKAT(Normalisasi!$M$2-Konvergensi!$E$391;2);PANGKAT(Normalisasi!$N$2-Konvergensi!$F$391;2);PANGKAT(Normalisasi!$O$2-Konvergensi!$G$391;2);PANGKAT(Normalisasi!$P$2-Konvergensi!$H$391;2));0))</f>
        <v/>
      </c>
      <c r="H336" t="n">
        <v>0</v>
      </c>
      <c r="I336" t="n">
        <v>7.675781283838948</v>
      </c>
    </row>
    <row r="337">
      <c r="A337">
        <f>Data_Awal!A3</f>
        <v/>
      </c>
      <c r="B337">
        <f>Data_Awal!B3</f>
        <v/>
      </c>
      <c r="C337">
        <f>AKAR(JUMLAH(PANGKAT(Normalisasi!$J$3-Konvergensi!$B$324;2);PANGKAT(Normalisasi!$K$3-Konvergensi!$C$324;2);PANGKAT(Normalisasi!$L$3-Konvergensi!$D$324;2);PANGKAT(Normalisasi!$M$3-Konvergensi!$E$324;2);PANGKAT(Normalisasi!$N$3-Konvergensi!$F$324;2);PANGKAT(Normalisasi!$O$3-Konvergensi!$G$324;2);PANGKAT(Normalisasi!$P$3-Konvergensi!$H$324;2)))</f>
        <v/>
      </c>
      <c r="D337">
        <f>AKAR(JUMLAH(PANGKAT(Normalisasi!$J$3-Konvergensi!$B$325;2);PANGKAT(Normalisasi!$K$3-Konvergensi!$C$325;2);PANGKAT(Normalisasi!$L$3-Konvergensi!$D$325;2);PANGKAT(Normalisasi!$M$3-Konvergensi!$E$325;2);PANGKAT(Normalisasi!$N$3-Konvergensi!$F$325;2);PANGKAT(Normalisasi!$O$3-Konvergensi!$G$325;2);PANGKAT(Normalisasi!$P$3-Konvergensi!$H$325;2)))</f>
        <v/>
      </c>
      <c r="E337">
        <f>AKAR(JUMLAH(PANGKAT(Normalisasi!$J$3-Konvergensi!$B$326;2);PANGKAT(Normalisasi!$K$3-Konvergensi!$C$326;2);PANGKAT(Normalisasi!$L$3-Konvergensi!$D$326;2);PANGKAT(Normalisasi!$M$3-Konvergensi!$E$326;2);PANGKAT(Normalisasi!$N$3-Konvergensi!$F$326;2);PANGKAT(Normalisasi!$O$3-Konvergensi!$G$326;2);PANGKAT(Normalisasi!$P$3-Konvergensi!$H$326;2)))</f>
        <v/>
      </c>
      <c r="F337">
        <f>JIKA(C337&lt;=D337;=JIKA(C337&lt;=E337;0;2);=JIKA(D337&lt;=E337;1;2))</f>
        <v/>
      </c>
      <c r="G337">
        <f>JUMLAH(JIKA(F337=0;JUMLAH(PANGKAT(Normalisasi!$J$3-Konvergensi!$B$389;2);PANGKAT(Normalisasi!$K$3-Konvergensi!$C$389;2);PANGKAT(Normalisasi!$L$3-Konvergensi!$D$389;2);PANGKAT(Normalisasi!$M$3-Konvergensi!$E$389;2);PANGKAT(Normalisasi!$N$3-Konvergensi!$F$389;2);PANGKAT(Normalisasi!$O$3-Konvergensi!$G$389;2);PANGKAT(Normalisasi!$P$3-Konvergensi!$H$389;2));0);JIKA(F337=1;JUMLAH(PANGKAT(Normalisasi!$J$3-Konvergensi!$B$390;2);PANGKAT(Normalisasi!$K$3-Konvergensi!$C$390;2);PANGKAT(Normalisasi!$L$3-Konvergensi!$D$390;2);PANGKAT(Normalisasi!$M$3-Konvergensi!$E$390;2);PANGKAT(Normalisasi!$N$3-Konvergensi!$F$390;2);PANGKAT(Normalisasi!$O$3-Konvergensi!$G$390;2);PANGKAT(Normalisasi!$P$3-Konvergensi!$H$390;2));0);JIKA(F337=2;JUMLAH(PANGKAT(Normalisasi!$J$3-Konvergensi!$B$391;2);PANGKAT(Normalisasi!$K$3-Konvergensi!$C$391;2);PANGKAT(Normalisasi!$L$3-Konvergensi!$D$391;2);PANGKAT(Normalisasi!$M$3-Konvergensi!$E$391;2);PANGKAT(Normalisasi!$N$3-Konvergensi!$F$391;2);PANGKAT(Normalisasi!$O$3-Konvergensi!$G$391;2);PANGKAT(Normalisasi!$P$3-Konvergensi!$H$391;2));0))</f>
        <v/>
      </c>
      <c r="H337" t="n">
        <v>1</v>
      </c>
      <c r="I337" t="n">
        <v>6.219456093813692</v>
      </c>
    </row>
    <row r="338">
      <c r="A338">
        <f>Data_Awal!A4</f>
        <v/>
      </c>
      <c r="B338">
        <f>Data_Awal!B4</f>
        <v/>
      </c>
      <c r="C338">
        <f>AKAR(JUMLAH(PANGKAT(Normalisasi!$J$4-Konvergensi!$B$324;2);PANGKAT(Normalisasi!$K$4-Konvergensi!$C$324;2);PANGKAT(Normalisasi!$L$4-Konvergensi!$D$324;2);PANGKAT(Normalisasi!$M$4-Konvergensi!$E$324;2);PANGKAT(Normalisasi!$N$4-Konvergensi!$F$324;2);PANGKAT(Normalisasi!$O$4-Konvergensi!$G$324;2);PANGKAT(Normalisasi!$P$4-Konvergensi!$H$324;2)))</f>
        <v/>
      </c>
      <c r="D338">
        <f>AKAR(JUMLAH(PANGKAT(Normalisasi!$J$4-Konvergensi!$B$325;2);PANGKAT(Normalisasi!$K$4-Konvergensi!$C$325;2);PANGKAT(Normalisasi!$L$4-Konvergensi!$D$325;2);PANGKAT(Normalisasi!$M$4-Konvergensi!$E$325;2);PANGKAT(Normalisasi!$N$4-Konvergensi!$F$325;2);PANGKAT(Normalisasi!$O$4-Konvergensi!$G$325;2);PANGKAT(Normalisasi!$P$4-Konvergensi!$H$325;2)))</f>
        <v/>
      </c>
      <c r="E338">
        <f>AKAR(JUMLAH(PANGKAT(Normalisasi!$J$4-Konvergensi!$B$326;2);PANGKAT(Normalisasi!$K$4-Konvergensi!$C$326;2);PANGKAT(Normalisasi!$L$4-Konvergensi!$D$326;2);PANGKAT(Normalisasi!$M$4-Konvergensi!$E$326;2);PANGKAT(Normalisasi!$N$4-Konvergensi!$F$326;2);PANGKAT(Normalisasi!$O$4-Konvergensi!$G$326;2);PANGKAT(Normalisasi!$P$4-Konvergensi!$H$326;2)))</f>
        <v/>
      </c>
      <c r="F338">
        <f>JIKA(C338&lt;=D338;=JIKA(C338&lt;=E338;0;2);=JIKA(D338&lt;=E338;1;2))</f>
        <v/>
      </c>
      <c r="G338">
        <f>JUMLAH(JIKA(F338=0;JUMLAH(PANGKAT(Normalisasi!$J$4-Konvergensi!$B$389;2);PANGKAT(Normalisasi!$K$4-Konvergensi!$C$389;2);PANGKAT(Normalisasi!$L$4-Konvergensi!$D$389;2);PANGKAT(Normalisasi!$M$4-Konvergensi!$E$389;2);PANGKAT(Normalisasi!$N$4-Konvergensi!$F$389;2);PANGKAT(Normalisasi!$O$4-Konvergensi!$G$389;2);PANGKAT(Normalisasi!$P$4-Konvergensi!$H$389;2));0);JIKA(F338=1;JUMLAH(PANGKAT(Normalisasi!$J$4-Konvergensi!$B$390;2);PANGKAT(Normalisasi!$K$4-Konvergensi!$C$390;2);PANGKAT(Normalisasi!$L$4-Konvergensi!$D$390;2);PANGKAT(Normalisasi!$M$4-Konvergensi!$E$390;2);PANGKAT(Normalisasi!$N$4-Konvergensi!$F$390;2);PANGKAT(Normalisasi!$O$4-Konvergensi!$G$390;2);PANGKAT(Normalisasi!$P$4-Konvergensi!$H$390;2));0);JIKA(F338=2;JUMLAH(PANGKAT(Normalisasi!$J$4-Konvergensi!$B$391;2);PANGKAT(Normalisasi!$K$4-Konvergensi!$C$391;2);PANGKAT(Normalisasi!$L$4-Konvergensi!$D$391;2);PANGKAT(Normalisasi!$M$4-Konvergensi!$E$391;2);PANGKAT(Normalisasi!$N$4-Konvergensi!$F$391;2);PANGKAT(Normalisasi!$O$4-Konvergensi!$G$391;2);PANGKAT(Normalisasi!$P$4-Konvergensi!$H$391;2));0))</f>
        <v/>
      </c>
      <c r="H338" t="n">
        <v>1</v>
      </c>
      <c r="I338" t="n">
        <v>5.986214447050536</v>
      </c>
    </row>
    <row r="339">
      <c r="A339">
        <f>Data_Awal!A5</f>
        <v/>
      </c>
      <c r="B339">
        <f>Data_Awal!B5</f>
        <v/>
      </c>
      <c r="C339">
        <f>AKAR(JUMLAH(PANGKAT(Normalisasi!$J$5-Konvergensi!$B$324;2);PANGKAT(Normalisasi!$K$5-Konvergensi!$C$324;2);PANGKAT(Normalisasi!$L$5-Konvergensi!$D$324;2);PANGKAT(Normalisasi!$M$5-Konvergensi!$E$324;2);PANGKAT(Normalisasi!$N$5-Konvergensi!$F$324;2);PANGKAT(Normalisasi!$O$5-Konvergensi!$G$324;2);PANGKAT(Normalisasi!$P$5-Konvergensi!$H$324;2)))</f>
        <v/>
      </c>
      <c r="D339">
        <f>AKAR(JUMLAH(PANGKAT(Normalisasi!$J$5-Konvergensi!$B$325;2);PANGKAT(Normalisasi!$K$5-Konvergensi!$C$325;2);PANGKAT(Normalisasi!$L$5-Konvergensi!$D$325;2);PANGKAT(Normalisasi!$M$5-Konvergensi!$E$325;2);PANGKAT(Normalisasi!$N$5-Konvergensi!$F$325;2);PANGKAT(Normalisasi!$O$5-Konvergensi!$G$325;2);PANGKAT(Normalisasi!$P$5-Konvergensi!$H$325;2)))</f>
        <v/>
      </c>
      <c r="E339">
        <f>AKAR(JUMLAH(PANGKAT(Normalisasi!$J$5-Konvergensi!$B$326;2);PANGKAT(Normalisasi!$K$5-Konvergensi!$C$326;2);PANGKAT(Normalisasi!$L$5-Konvergensi!$D$326;2);PANGKAT(Normalisasi!$M$5-Konvergensi!$E$326;2);PANGKAT(Normalisasi!$N$5-Konvergensi!$F$326;2);PANGKAT(Normalisasi!$O$5-Konvergensi!$G$326;2);PANGKAT(Normalisasi!$P$5-Konvergensi!$H$326;2)))</f>
        <v/>
      </c>
      <c r="F339">
        <f>JIKA(C339&lt;=D339;=JIKA(C339&lt;=E339;0;2);=JIKA(D339&lt;=E339;1;2))</f>
        <v/>
      </c>
      <c r="G339">
        <f>JUMLAH(JIKA(F339=0;JUMLAH(PANGKAT(Normalisasi!$J$5-Konvergensi!$B$389;2);PANGKAT(Normalisasi!$K$5-Konvergensi!$C$389;2);PANGKAT(Normalisasi!$L$5-Konvergensi!$D$389;2);PANGKAT(Normalisasi!$M$5-Konvergensi!$E$389;2);PANGKAT(Normalisasi!$N$5-Konvergensi!$F$389;2);PANGKAT(Normalisasi!$O$5-Konvergensi!$G$389;2);PANGKAT(Normalisasi!$P$5-Konvergensi!$H$389;2));0);JIKA(F339=1;JUMLAH(PANGKAT(Normalisasi!$J$5-Konvergensi!$B$390;2);PANGKAT(Normalisasi!$K$5-Konvergensi!$C$390;2);PANGKAT(Normalisasi!$L$5-Konvergensi!$D$390;2);PANGKAT(Normalisasi!$M$5-Konvergensi!$E$390;2);PANGKAT(Normalisasi!$N$5-Konvergensi!$F$390;2);PANGKAT(Normalisasi!$O$5-Konvergensi!$G$390;2);PANGKAT(Normalisasi!$P$5-Konvergensi!$H$390;2));0);JIKA(F339=2;JUMLAH(PANGKAT(Normalisasi!$J$5-Konvergensi!$B$391;2);PANGKAT(Normalisasi!$K$5-Konvergensi!$C$391;2);PANGKAT(Normalisasi!$L$5-Konvergensi!$D$391;2);PANGKAT(Normalisasi!$M$5-Konvergensi!$E$391;2);PANGKAT(Normalisasi!$N$5-Konvergensi!$F$391;2);PANGKAT(Normalisasi!$O$5-Konvergensi!$G$391;2);PANGKAT(Normalisasi!$P$5-Konvergensi!$H$391;2));0))</f>
        <v/>
      </c>
      <c r="H339" t="n">
        <v>0</v>
      </c>
      <c r="I339" t="n">
        <v>6.648883270454879</v>
      </c>
    </row>
    <row r="340">
      <c r="A340">
        <f>Data_Awal!A6</f>
        <v/>
      </c>
      <c r="B340">
        <f>Data_Awal!B6</f>
        <v/>
      </c>
      <c r="C340">
        <f>AKAR(JUMLAH(PANGKAT(Normalisasi!$J$6-Konvergensi!$B$324;2);PANGKAT(Normalisasi!$K$6-Konvergensi!$C$324;2);PANGKAT(Normalisasi!$L$6-Konvergensi!$D$324;2);PANGKAT(Normalisasi!$M$6-Konvergensi!$E$324;2);PANGKAT(Normalisasi!$N$6-Konvergensi!$F$324;2);PANGKAT(Normalisasi!$O$6-Konvergensi!$G$324;2);PANGKAT(Normalisasi!$P$6-Konvergensi!$H$324;2)))</f>
        <v/>
      </c>
      <c r="D340">
        <f>AKAR(JUMLAH(PANGKAT(Normalisasi!$J$6-Konvergensi!$B$325;2);PANGKAT(Normalisasi!$K$6-Konvergensi!$C$325;2);PANGKAT(Normalisasi!$L$6-Konvergensi!$D$325;2);PANGKAT(Normalisasi!$M$6-Konvergensi!$E$325;2);PANGKAT(Normalisasi!$N$6-Konvergensi!$F$325;2);PANGKAT(Normalisasi!$O$6-Konvergensi!$G$325;2);PANGKAT(Normalisasi!$P$6-Konvergensi!$H$325;2)))</f>
        <v/>
      </c>
      <c r="E340">
        <f>AKAR(JUMLAH(PANGKAT(Normalisasi!$J$6-Konvergensi!$B$326;2);PANGKAT(Normalisasi!$K$6-Konvergensi!$C$326;2);PANGKAT(Normalisasi!$L$6-Konvergensi!$D$326;2);PANGKAT(Normalisasi!$M$6-Konvergensi!$E$326;2);PANGKAT(Normalisasi!$N$6-Konvergensi!$F$326;2);PANGKAT(Normalisasi!$O$6-Konvergensi!$G$326;2);PANGKAT(Normalisasi!$P$6-Konvergensi!$H$326;2)))</f>
        <v/>
      </c>
      <c r="F340">
        <f>JIKA(C340&lt;=D340;=JIKA(C340&lt;=E340;0;2);=JIKA(D340&lt;=E340;1;2))</f>
        <v/>
      </c>
      <c r="G340">
        <f>JUMLAH(JIKA(F340=0;JUMLAH(PANGKAT(Normalisasi!$J$6-Konvergensi!$B$389;2);PANGKAT(Normalisasi!$K$6-Konvergensi!$C$389;2);PANGKAT(Normalisasi!$L$6-Konvergensi!$D$389;2);PANGKAT(Normalisasi!$M$6-Konvergensi!$E$389;2);PANGKAT(Normalisasi!$N$6-Konvergensi!$F$389;2);PANGKAT(Normalisasi!$O$6-Konvergensi!$G$389;2);PANGKAT(Normalisasi!$P$6-Konvergensi!$H$389;2));0);JIKA(F340=1;JUMLAH(PANGKAT(Normalisasi!$J$6-Konvergensi!$B$390;2);PANGKAT(Normalisasi!$K$6-Konvergensi!$C$390;2);PANGKAT(Normalisasi!$L$6-Konvergensi!$D$390;2);PANGKAT(Normalisasi!$M$6-Konvergensi!$E$390;2);PANGKAT(Normalisasi!$N$6-Konvergensi!$F$390;2);PANGKAT(Normalisasi!$O$6-Konvergensi!$G$390;2);PANGKAT(Normalisasi!$P$6-Konvergensi!$H$390;2));0);JIKA(F340=2;JUMLAH(PANGKAT(Normalisasi!$J$6-Konvergensi!$B$391;2);PANGKAT(Normalisasi!$K$6-Konvergensi!$C$391;2);PANGKAT(Normalisasi!$L$6-Konvergensi!$D$391;2);PANGKAT(Normalisasi!$M$6-Konvergensi!$E$391;2);PANGKAT(Normalisasi!$N$6-Konvergensi!$F$391;2);PANGKAT(Normalisasi!$O$6-Konvergensi!$G$391;2);PANGKAT(Normalisasi!$P$6-Konvergensi!$H$391;2));0))</f>
        <v/>
      </c>
      <c r="H340" t="n">
        <v>0</v>
      </c>
      <c r="I340" t="n">
        <v>5.746740200747723</v>
      </c>
    </row>
    <row r="341">
      <c r="A341">
        <f>Data_Awal!A7</f>
        <v/>
      </c>
      <c r="B341">
        <f>Data_Awal!B7</f>
        <v/>
      </c>
      <c r="C341">
        <f>AKAR(JUMLAH(PANGKAT(Normalisasi!$J$7-Konvergensi!$B$324;2);PANGKAT(Normalisasi!$K$7-Konvergensi!$C$324;2);PANGKAT(Normalisasi!$L$7-Konvergensi!$D$324;2);PANGKAT(Normalisasi!$M$7-Konvergensi!$E$324;2);PANGKAT(Normalisasi!$N$7-Konvergensi!$F$324;2);PANGKAT(Normalisasi!$O$7-Konvergensi!$G$324;2);PANGKAT(Normalisasi!$P$7-Konvergensi!$H$324;2)))</f>
        <v/>
      </c>
      <c r="D341">
        <f>AKAR(JUMLAH(PANGKAT(Normalisasi!$J$7-Konvergensi!$B$325;2);PANGKAT(Normalisasi!$K$7-Konvergensi!$C$325;2);PANGKAT(Normalisasi!$L$7-Konvergensi!$D$325;2);PANGKAT(Normalisasi!$M$7-Konvergensi!$E$325;2);PANGKAT(Normalisasi!$N$7-Konvergensi!$F$325;2);PANGKAT(Normalisasi!$O$7-Konvergensi!$G$325;2);PANGKAT(Normalisasi!$P$7-Konvergensi!$H$325;2)))</f>
        <v/>
      </c>
      <c r="E341">
        <f>AKAR(JUMLAH(PANGKAT(Normalisasi!$J$7-Konvergensi!$B$326;2);PANGKAT(Normalisasi!$K$7-Konvergensi!$C$326;2);PANGKAT(Normalisasi!$L$7-Konvergensi!$D$326;2);PANGKAT(Normalisasi!$M$7-Konvergensi!$E$326;2);PANGKAT(Normalisasi!$N$7-Konvergensi!$F$326;2);PANGKAT(Normalisasi!$O$7-Konvergensi!$G$326;2);PANGKAT(Normalisasi!$P$7-Konvergensi!$H$326;2)))</f>
        <v/>
      </c>
      <c r="F341">
        <f>JIKA(C341&lt;=D341;=JIKA(C341&lt;=E341;0;2);=JIKA(D341&lt;=E341;1;2))</f>
        <v/>
      </c>
      <c r="G341">
        <f>JUMLAH(JIKA(F341=0;JUMLAH(PANGKAT(Normalisasi!$J$7-Konvergensi!$B$389;2);PANGKAT(Normalisasi!$K$7-Konvergensi!$C$389;2);PANGKAT(Normalisasi!$L$7-Konvergensi!$D$389;2);PANGKAT(Normalisasi!$M$7-Konvergensi!$E$389;2);PANGKAT(Normalisasi!$N$7-Konvergensi!$F$389;2);PANGKAT(Normalisasi!$O$7-Konvergensi!$G$389;2);PANGKAT(Normalisasi!$P$7-Konvergensi!$H$389;2));0);JIKA(F341=1;JUMLAH(PANGKAT(Normalisasi!$J$7-Konvergensi!$B$390;2);PANGKAT(Normalisasi!$K$7-Konvergensi!$C$390;2);PANGKAT(Normalisasi!$L$7-Konvergensi!$D$390;2);PANGKAT(Normalisasi!$M$7-Konvergensi!$E$390;2);PANGKAT(Normalisasi!$N$7-Konvergensi!$F$390;2);PANGKAT(Normalisasi!$O$7-Konvergensi!$G$390;2);PANGKAT(Normalisasi!$P$7-Konvergensi!$H$390;2));0);JIKA(F341=2;JUMLAH(PANGKAT(Normalisasi!$J$7-Konvergensi!$B$391;2);PANGKAT(Normalisasi!$K$7-Konvergensi!$C$391;2);PANGKAT(Normalisasi!$L$7-Konvergensi!$D$391;2);PANGKAT(Normalisasi!$M$7-Konvergensi!$E$391;2);PANGKAT(Normalisasi!$N$7-Konvergensi!$F$391;2);PANGKAT(Normalisasi!$O$7-Konvergensi!$G$391;2);PANGKAT(Normalisasi!$P$7-Konvergensi!$H$391;2));0))</f>
        <v/>
      </c>
      <c r="H341" t="n">
        <v>0</v>
      </c>
      <c r="I341" t="n">
        <v>6.52718189448346</v>
      </c>
    </row>
    <row r="342">
      <c r="A342">
        <f>Data_Awal!A8</f>
        <v/>
      </c>
      <c r="B342">
        <f>Data_Awal!B8</f>
        <v/>
      </c>
      <c r="C342">
        <f>AKAR(JUMLAH(PANGKAT(Normalisasi!$J$8-Konvergensi!$B$324;2);PANGKAT(Normalisasi!$K$8-Konvergensi!$C$324;2);PANGKAT(Normalisasi!$L$8-Konvergensi!$D$324;2);PANGKAT(Normalisasi!$M$8-Konvergensi!$E$324;2);PANGKAT(Normalisasi!$N$8-Konvergensi!$F$324;2);PANGKAT(Normalisasi!$O$8-Konvergensi!$G$324;2);PANGKAT(Normalisasi!$P$8-Konvergensi!$H$324;2)))</f>
        <v/>
      </c>
      <c r="D342">
        <f>AKAR(JUMLAH(PANGKAT(Normalisasi!$J$8-Konvergensi!$B$325;2);PANGKAT(Normalisasi!$K$8-Konvergensi!$C$325;2);PANGKAT(Normalisasi!$L$8-Konvergensi!$D$325;2);PANGKAT(Normalisasi!$M$8-Konvergensi!$E$325;2);PANGKAT(Normalisasi!$N$8-Konvergensi!$F$325;2);PANGKAT(Normalisasi!$O$8-Konvergensi!$G$325;2);PANGKAT(Normalisasi!$P$8-Konvergensi!$H$325;2)))</f>
        <v/>
      </c>
      <c r="E342">
        <f>AKAR(JUMLAH(PANGKAT(Normalisasi!$J$8-Konvergensi!$B$326;2);PANGKAT(Normalisasi!$K$8-Konvergensi!$C$326;2);PANGKAT(Normalisasi!$L$8-Konvergensi!$D$326;2);PANGKAT(Normalisasi!$M$8-Konvergensi!$E$326;2);PANGKAT(Normalisasi!$N$8-Konvergensi!$F$326;2);PANGKAT(Normalisasi!$O$8-Konvergensi!$G$326;2);PANGKAT(Normalisasi!$P$8-Konvergensi!$H$326;2)))</f>
        <v/>
      </c>
      <c r="F342">
        <f>JIKA(C342&lt;=D342;=JIKA(C342&lt;=E342;0;2);=JIKA(D342&lt;=E342;1;2))</f>
        <v/>
      </c>
      <c r="G342">
        <f>JUMLAH(JIKA(F342=0;JUMLAH(PANGKAT(Normalisasi!$J$8-Konvergensi!$B$389;2);PANGKAT(Normalisasi!$K$8-Konvergensi!$C$389;2);PANGKAT(Normalisasi!$L$8-Konvergensi!$D$389;2);PANGKAT(Normalisasi!$M$8-Konvergensi!$E$389;2);PANGKAT(Normalisasi!$N$8-Konvergensi!$F$389;2);PANGKAT(Normalisasi!$O$8-Konvergensi!$G$389;2);PANGKAT(Normalisasi!$P$8-Konvergensi!$H$389;2));0);JIKA(F342=1;JUMLAH(PANGKAT(Normalisasi!$J$8-Konvergensi!$B$390;2);PANGKAT(Normalisasi!$K$8-Konvergensi!$C$390;2);PANGKAT(Normalisasi!$L$8-Konvergensi!$D$390;2);PANGKAT(Normalisasi!$M$8-Konvergensi!$E$390;2);PANGKAT(Normalisasi!$N$8-Konvergensi!$F$390;2);PANGKAT(Normalisasi!$O$8-Konvergensi!$G$390;2);PANGKAT(Normalisasi!$P$8-Konvergensi!$H$390;2));0);JIKA(F342=2;JUMLAH(PANGKAT(Normalisasi!$J$8-Konvergensi!$B$391;2);PANGKAT(Normalisasi!$K$8-Konvergensi!$C$391;2);PANGKAT(Normalisasi!$L$8-Konvergensi!$D$391;2);PANGKAT(Normalisasi!$M$8-Konvergensi!$E$391;2);PANGKAT(Normalisasi!$N$8-Konvergensi!$F$391;2);PANGKAT(Normalisasi!$O$8-Konvergensi!$G$391;2);PANGKAT(Normalisasi!$P$8-Konvergensi!$H$391;2));0))</f>
        <v/>
      </c>
      <c r="H342" t="n">
        <v>0</v>
      </c>
      <c r="I342" t="n">
        <v>8.396043048686705</v>
      </c>
    </row>
    <row r="343">
      <c r="A343">
        <f>Data_Awal!A9</f>
        <v/>
      </c>
      <c r="B343">
        <f>Data_Awal!B9</f>
        <v/>
      </c>
      <c r="C343">
        <f>AKAR(JUMLAH(PANGKAT(Normalisasi!$J$9-Konvergensi!$B$324;2);PANGKAT(Normalisasi!$K$9-Konvergensi!$C$324;2);PANGKAT(Normalisasi!$L$9-Konvergensi!$D$324;2);PANGKAT(Normalisasi!$M$9-Konvergensi!$E$324;2);PANGKAT(Normalisasi!$N$9-Konvergensi!$F$324;2);PANGKAT(Normalisasi!$O$9-Konvergensi!$G$324;2);PANGKAT(Normalisasi!$P$9-Konvergensi!$H$324;2)))</f>
        <v/>
      </c>
      <c r="D343">
        <f>AKAR(JUMLAH(PANGKAT(Normalisasi!$J$9-Konvergensi!$B$325;2);PANGKAT(Normalisasi!$K$9-Konvergensi!$C$325;2);PANGKAT(Normalisasi!$L$9-Konvergensi!$D$325;2);PANGKAT(Normalisasi!$M$9-Konvergensi!$E$325;2);PANGKAT(Normalisasi!$N$9-Konvergensi!$F$325;2);PANGKAT(Normalisasi!$O$9-Konvergensi!$G$325;2);PANGKAT(Normalisasi!$P$9-Konvergensi!$H$325;2)))</f>
        <v/>
      </c>
      <c r="E343">
        <f>AKAR(JUMLAH(PANGKAT(Normalisasi!$J$9-Konvergensi!$B$326;2);PANGKAT(Normalisasi!$K$9-Konvergensi!$C$326;2);PANGKAT(Normalisasi!$L$9-Konvergensi!$D$326;2);PANGKAT(Normalisasi!$M$9-Konvergensi!$E$326;2);PANGKAT(Normalisasi!$N$9-Konvergensi!$F$326;2);PANGKAT(Normalisasi!$O$9-Konvergensi!$G$326;2);PANGKAT(Normalisasi!$P$9-Konvergensi!$H$326;2)))</f>
        <v/>
      </c>
      <c r="F343">
        <f>JIKA(C343&lt;=D343;=JIKA(C343&lt;=E343;0;2);=JIKA(D343&lt;=E343;1;2))</f>
        <v/>
      </c>
      <c r="G343">
        <f>JUMLAH(JIKA(F343=0;JUMLAH(PANGKAT(Normalisasi!$J$9-Konvergensi!$B$389;2);PANGKAT(Normalisasi!$K$9-Konvergensi!$C$389;2);PANGKAT(Normalisasi!$L$9-Konvergensi!$D$389;2);PANGKAT(Normalisasi!$M$9-Konvergensi!$E$389;2);PANGKAT(Normalisasi!$N$9-Konvergensi!$F$389;2);PANGKAT(Normalisasi!$O$9-Konvergensi!$G$389;2);PANGKAT(Normalisasi!$P$9-Konvergensi!$H$389;2));0);JIKA(F343=1;JUMLAH(PANGKAT(Normalisasi!$J$9-Konvergensi!$B$390;2);PANGKAT(Normalisasi!$K$9-Konvergensi!$C$390;2);PANGKAT(Normalisasi!$L$9-Konvergensi!$D$390;2);PANGKAT(Normalisasi!$M$9-Konvergensi!$E$390;2);PANGKAT(Normalisasi!$N$9-Konvergensi!$F$390;2);PANGKAT(Normalisasi!$O$9-Konvergensi!$G$390;2);PANGKAT(Normalisasi!$P$9-Konvergensi!$H$390;2));0);JIKA(F343=2;JUMLAH(PANGKAT(Normalisasi!$J$9-Konvergensi!$B$391;2);PANGKAT(Normalisasi!$K$9-Konvergensi!$C$391;2);PANGKAT(Normalisasi!$L$9-Konvergensi!$D$391;2);PANGKAT(Normalisasi!$M$9-Konvergensi!$E$391;2);PANGKAT(Normalisasi!$N$9-Konvergensi!$F$391;2);PANGKAT(Normalisasi!$O$9-Konvergensi!$G$391;2);PANGKAT(Normalisasi!$P$9-Konvergensi!$H$391;2));0))</f>
        <v/>
      </c>
      <c r="H343" t="n">
        <v>1</v>
      </c>
      <c r="I343" t="n">
        <v>7.141395823476353</v>
      </c>
    </row>
    <row r="344">
      <c r="A344">
        <f>Data_Awal!A10</f>
        <v/>
      </c>
      <c r="B344">
        <f>Data_Awal!B10</f>
        <v/>
      </c>
      <c r="C344">
        <f>AKAR(JUMLAH(PANGKAT(Normalisasi!$J$10-Konvergensi!$B$324;2);PANGKAT(Normalisasi!$K$10-Konvergensi!$C$324;2);PANGKAT(Normalisasi!$L$10-Konvergensi!$D$324;2);PANGKAT(Normalisasi!$M$10-Konvergensi!$E$324;2);PANGKAT(Normalisasi!$N$10-Konvergensi!$F$324;2);PANGKAT(Normalisasi!$O$10-Konvergensi!$G$324;2);PANGKAT(Normalisasi!$P$10-Konvergensi!$H$324;2)))</f>
        <v/>
      </c>
      <c r="D344">
        <f>AKAR(JUMLAH(PANGKAT(Normalisasi!$J$10-Konvergensi!$B$325;2);PANGKAT(Normalisasi!$K$10-Konvergensi!$C$325;2);PANGKAT(Normalisasi!$L$10-Konvergensi!$D$325;2);PANGKAT(Normalisasi!$M$10-Konvergensi!$E$325;2);PANGKAT(Normalisasi!$N$10-Konvergensi!$F$325;2);PANGKAT(Normalisasi!$O$10-Konvergensi!$G$325;2);PANGKAT(Normalisasi!$P$10-Konvergensi!$H$325;2)))</f>
        <v/>
      </c>
      <c r="E344">
        <f>AKAR(JUMLAH(PANGKAT(Normalisasi!$J$10-Konvergensi!$B$326;2);PANGKAT(Normalisasi!$K$10-Konvergensi!$C$326;2);PANGKAT(Normalisasi!$L$10-Konvergensi!$D$326;2);PANGKAT(Normalisasi!$M$10-Konvergensi!$E$326;2);PANGKAT(Normalisasi!$N$10-Konvergensi!$F$326;2);PANGKAT(Normalisasi!$O$10-Konvergensi!$G$326;2);PANGKAT(Normalisasi!$P$10-Konvergensi!$H$326;2)))</f>
        <v/>
      </c>
      <c r="F344">
        <f>JIKA(C344&lt;=D344;=JIKA(C344&lt;=E344;0;2);=JIKA(D344&lt;=E344;1;2))</f>
        <v/>
      </c>
      <c r="G344">
        <f>JUMLAH(JIKA(F344=0;JUMLAH(PANGKAT(Normalisasi!$J$10-Konvergensi!$B$389;2);PANGKAT(Normalisasi!$K$10-Konvergensi!$C$389;2);PANGKAT(Normalisasi!$L$10-Konvergensi!$D$389;2);PANGKAT(Normalisasi!$M$10-Konvergensi!$E$389;2);PANGKAT(Normalisasi!$N$10-Konvergensi!$F$389;2);PANGKAT(Normalisasi!$O$10-Konvergensi!$G$389;2);PANGKAT(Normalisasi!$P$10-Konvergensi!$H$389;2));0);JIKA(F344=1;JUMLAH(PANGKAT(Normalisasi!$J$10-Konvergensi!$B$390;2);PANGKAT(Normalisasi!$K$10-Konvergensi!$C$390;2);PANGKAT(Normalisasi!$L$10-Konvergensi!$D$390;2);PANGKAT(Normalisasi!$M$10-Konvergensi!$E$390;2);PANGKAT(Normalisasi!$N$10-Konvergensi!$F$390;2);PANGKAT(Normalisasi!$O$10-Konvergensi!$G$390;2);PANGKAT(Normalisasi!$P$10-Konvergensi!$H$390;2));0);JIKA(F344=2;JUMLAH(PANGKAT(Normalisasi!$J$10-Konvergensi!$B$391;2);PANGKAT(Normalisasi!$K$10-Konvergensi!$C$391;2);PANGKAT(Normalisasi!$L$10-Konvergensi!$D$391;2);PANGKAT(Normalisasi!$M$10-Konvergensi!$E$391;2);PANGKAT(Normalisasi!$N$10-Konvergensi!$F$391;2);PANGKAT(Normalisasi!$O$10-Konvergensi!$G$391;2);PANGKAT(Normalisasi!$P$10-Konvergensi!$H$391;2));0))</f>
        <v/>
      </c>
      <c r="H344" t="n">
        <v>0</v>
      </c>
      <c r="I344" t="n">
        <v>3.949165869038645</v>
      </c>
    </row>
    <row r="345">
      <c r="A345">
        <f>Data_Awal!A11</f>
        <v/>
      </c>
      <c r="B345">
        <f>Data_Awal!B11</f>
        <v/>
      </c>
      <c r="C345">
        <f>AKAR(JUMLAH(PANGKAT(Normalisasi!$J$11-Konvergensi!$B$324;2);PANGKAT(Normalisasi!$K$11-Konvergensi!$C$324;2);PANGKAT(Normalisasi!$L$11-Konvergensi!$D$324;2);PANGKAT(Normalisasi!$M$11-Konvergensi!$E$324;2);PANGKAT(Normalisasi!$N$11-Konvergensi!$F$324;2);PANGKAT(Normalisasi!$O$11-Konvergensi!$G$324;2);PANGKAT(Normalisasi!$P$11-Konvergensi!$H$324;2)))</f>
        <v/>
      </c>
      <c r="D345">
        <f>AKAR(JUMLAH(PANGKAT(Normalisasi!$J$11-Konvergensi!$B$325;2);PANGKAT(Normalisasi!$K$11-Konvergensi!$C$325;2);PANGKAT(Normalisasi!$L$11-Konvergensi!$D$325;2);PANGKAT(Normalisasi!$M$11-Konvergensi!$E$325;2);PANGKAT(Normalisasi!$N$11-Konvergensi!$F$325;2);PANGKAT(Normalisasi!$O$11-Konvergensi!$G$325;2);PANGKAT(Normalisasi!$P$11-Konvergensi!$H$325;2)))</f>
        <v/>
      </c>
      <c r="E345">
        <f>AKAR(JUMLAH(PANGKAT(Normalisasi!$J$11-Konvergensi!$B$326;2);PANGKAT(Normalisasi!$K$11-Konvergensi!$C$326;2);PANGKAT(Normalisasi!$L$11-Konvergensi!$D$326;2);PANGKAT(Normalisasi!$M$11-Konvergensi!$E$326;2);PANGKAT(Normalisasi!$N$11-Konvergensi!$F$326;2);PANGKAT(Normalisasi!$O$11-Konvergensi!$G$326;2);PANGKAT(Normalisasi!$P$11-Konvergensi!$H$326;2)))</f>
        <v/>
      </c>
      <c r="F345">
        <f>JIKA(C345&lt;=D345;=JIKA(C345&lt;=E345;0;2);=JIKA(D345&lt;=E345;1;2))</f>
        <v/>
      </c>
      <c r="G345">
        <f>JUMLAH(JIKA(F345=0;JUMLAH(PANGKAT(Normalisasi!$J$11-Konvergensi!$B$389;2);PANGKAT(Normalisasi!$K$11-Konvergensi!$C$389;2);PANGKAT(Normalisasi!$L$11-Konvergensi!$D$389;2);PANGKAT(Normalisasi!$M$11-Konvergensi!$E$389;2);PANGKAT(Normalisasi!$N$11-Konvergensi!$F$389;2);PANGKAT(Normalisasi!$O$11-Konvergensi!$G$389;2);PANGKAT(Normalisasi!$P$11-Konvergensi!$H$389;2));0);JIKA(F345=1;JUMLAH(PANGKAT(Normalisasi!$J$11-Konvergensi!$B$390;2);PANGKAT(Normalisasi!$K$11-Konvergensi!$C$390;2);PANGKAT(Normalisasi!$L$11-Konvergensi!$D$390;2);PANGKAT(Normalisasi!$M$11-Konvergensi!$E$390;2);PANGKAT(Normalisasi!$N$11-Konvergensi!$F$390;2);PANGKAT(Normalisasi!$O$11-Konvergensi!$G$390;2);PANGKAT(Normalisasi!$P$11-Konvergensi!$H$390;2));0);JIKA(F345=2;JUMLAH(PANGKAT(Normalisasi!$J$11-Konvergensi!$B$391;2);PANGKAT(Normalisasi!$K$11-Konvergensi!$C$391;2);PANGKAT(Normalisasi!$L$11-Konvergensi!$D$391;2);PANGKAT(Normalisasi!$M$11-Konvergensi!$E$391;2);PANGKAT(Normalisasi!$N$11-Konvergensi!$F$391;2);PANGKAT(Normalisasi!$O$11-Konvergensi!$G$391;2);PANGKAT(Normalisasi!$P$11-Konvergensi!$H$391;2));0))</f>
        <v/>
      </c>
      <c r="H345" t="n">
        <v>1</v>
      </c>
      <c r="I345" t="n">
        <v>1.573799215733445</v>
      </c>
    </row>
    <row r="346">
      <c r="A346">
        <f>Data_Awal!A12</f>
        <v/>
      </c>
      <c r="B346">
        <f>Data_Awal!B12</f>
        <v/>
      </c>
      <c r="C346">
        <f>AKAR(JUMLAH(PANGKAT(Normalisasi!$J$12-Konvergensi!$B$324;2);PANGKAT(Normalisasi!$K$12-Konvergensi!$C$324;2);PANGKAT(Normalisasi!$L$12-Konvergensi!$D$324;2);PANGKAT(Normalisasi!$M$12-Konvergensi!$E$324;2);PANGKAT(Normalisasi!$N$12-Konvergensi!$F$324;2);PANGKAT(Normalisasi!$O$12-Konvergensi!$G$324;2);PANGKAT(Normalisasi!$P$12-Konvergensi!$H$324;2)))</f>
        <v/>
      </c>
      <c r="D346">
        <f>AKAR(JUMLAH(PANGKAT(Normalisasi!$J$12-Konvergensi!$B$325;2);PANGKAT(Normalisasi!$K$12-Konvergensi!$C$325;2);PANGKAT(Normalisasi!$L$12-Konvergensi!$D$325;2);PANGKAT(Normalisasi!$M$12-Konvergensi!$E$325;2);PANGKAT(Normalisasi!$N$12-Konvergensi!$F$325;2);PANGKAT(Normalisasi!$O$12-Konvergensi!$G$325;2);PANGKAT(Normalisasi!$P$12-Konvergensi!$H$325;2)))</f>
        <v/>
      </c>
      <c r="E346">
        <f>AKAR(JUMLAH(PANGKAT(Normalisasi!$J$12-Konvergensi!$B$326;2);PANGKAT(Normalisasi!$K$12-Konvergensi!$C$326;2);PANGKAT(Normalisasi!$L$12-Konvergensi!$D$326;2);PANGKAT(Normalisasi!$M$12-Konvergensi!$E$326;2);PANGKAT(Normalisasi!$N$12-Konvergensi!$F$326;2);PANGKAT(Normalisasi!$O$12-Konvergensi!$G$326;2);PANGKAT(Normalisasi!$P$12-Konvergensi!$H$326;2)))</f>
        <v/>
      </c>
      <c r="F346">
        <f>JIKA(C346&lt;=D346;=JIKA(C346&lt;=E346;0;2);=JIKA(D346&lt;=E346;1;2))</f>
        <v/>
      </c>
      <c r="G346">
        <f>JUMLAH(JIKA(F346=0;JUMLAH(PANGKAT(Normalisasi!$J$12-Konvergensi!$B$389;2);PANGKAT(Normalisasi!$K$12-Konvergensi!$C$389;2);PANGKAT(Normalisasi!$L$12-Konvergensi!$D$389;2);PANGKAT(Normalisasi!$M$12-Konvergensi!$E$389;2);PANGKAT(Normalisasi!$N$12-Konvergensi!$F$389;2);PANGKAT(Normalisasi!$O$12-Konvergensi!$G$389;2);PANGKAT(Normalisasi!$P$12-Konvergensi!$H$389;2));0);JIKA(F346=1;JUMLAH(PANGKAT(Normalisasi!$J$12-Konvergensi!$B$390;2);PANGKAT(Normalisasi!$K$12-Konvergensi!$C$390;2);PANGKAT(Normalisasi!$L$12-Konvergensi!$D$390;2);PANGKAT(Normalisasi!$M$12-Konvergensi!$E$390;2);PANGKAT(Normalisasi!$N$12-Konvergensi!$F$390;2);PANGKAT(Normalisasi!$O$12-Konvergensi!$G$390;2);PANGKAT(Normalisasi!$P$12-Konvergensi!$H$390;2));0);JIKA(F346=2;JUMLAH(PANGKAT(Normalisasi!$J$12-Konvergensi!$B$391;2);PANGKAT(Normalisasi!$K$12-Konvergensi!$C$391;2);PANGKAT(Normalisasi!$L$12-Konvergensi!$D$391;2);PANGKAT(Normalisasi!$M$12-Konvergensi!$E$391;2);PANGKAT(Normalisasi!$N$12-Konvergensi!$F$391;2);PANGKAT(Normalisasi!$O$12-Konvergensi!$G$391;2);PANGKAT(Normalisasi!$P$12-Konvergensi!$H$391;2));0))</f>
        <v/>
      </c>
      <c r="H346" t="n">
        <v>1</v>
      </c>
      <c r="I346" t="n">
        <v>7.985927693706085</v>
      </c>
    </row>
    <row r="347">
      <c r="A347">
        <f>Data_Awal!A13</f>
        <v/>
      </c>
      <c r="B347">
        <f>Data_Awal!B13</f>
        <v/>
      </c>
      <c r="C347">
        <f>AKAR(JUMLAH(PANGKAT(Normalisasi!$J$13-Konvergensi!$B$324;2);PANGKAT(Normalisasi!$K$13-Konvergensi!$C$324;2);PANGKAT(Normalisasi!$L$13-Konvergensi!$D$324;2);PANGKAT(Normalisasi!$M$13-Konvergensi!$E$324;2);PANGKAT(Normalisasi!$N$13-Konvergensi!$F$324;2);PANGKAT(Normalisasi!$O$13-Konvergensi!$G$324;2);PANGKAT(Normalisasi!$P$13-Konvergensi!$H$324;2)))</f>
        <v/>
      </c>
      <c r="D347">
        <f>AKAR(JUMLAH(PANGKAT(Normalisasi!$J$13-Konvergensi!$B$325;2);PANGKAT(Normalisasi!$K$13-Konvergensi!$C$325;2);PANGKAT(Normalisasi!$L$13-Konvergensi!$D$325;2);PANGKAT(Normalisasi!$M$13-Konvergensi!$E$325;2);PANGKAT(Normalisasi!$N$13-Konvergensi!$F$325;2);PANGKAT(Normalisasi!$O$13-Konvergensi!$G$325;2);PANGKAT(Normalisasi!$P$13-Konvergensi!$H$325;2)))</f>
        <v/>
      </c>
      <c r="E347">
        <f>AKAR(JUMLAH(PANGKAT(Normalisasi!$J$13-Konvergensi!$B$326;2);PANGKAT(Normalisasi!$K$13-Konvergensi!$C$326;2);PANGKAT(Normalisasi!$L$13-Konvergensi!$D$326;2);PANGKAT(Normalisasi!$M$13-Konvergensi!$E$326;2);PANGKAT(Normalisasi!$N$13-Konvergensi!$F$326;2);PANGKAT(Normalisasi!$O$13-Konvergensi!$G$326;2);PANGKAT(Normalisasi!$P$13-Konvergensi!$H$326;2)))</f>
        <v/>
      </c>
      <c r="F347">
        <f>JIKA(C347&lt;=D347;=JIKA(C347&lt;=E347;0;2);=JIKA(D347&lt;=E347;1;2))</f>
        <v/>
      </c>
      <c r="G347">
        <f>JUMLAH(JIKA(F347=0;JUMLAH(PANGKAT(Normalisasi!$J$13-Konvergensi!$B$389;2);PANGKAT(Normalisasi!$K$13-Konvergensi!$C$389;2);PANGKAT(Normalisasi!$L$13-Konvergensi!$D$389;2);PANGKAT(Normalisasi!$M$13-Konvergensi!$E$389;2);PANGKAT(Normalisasi!$N$13-Konvergensi!$F$389;2);PANGKAT(Normalisasi!$O$13-Konvergensi!$G$389;2);PANGKAT(Normalisasi!$P$13-Konvergensi!$H$389;2));0);JIKA(F347=1;JUMLAH(PANGKAT(Normalisasi!$J$13-Konvergensi!$B$390;2);PANGKAT(Normalisasi!$K$13-Konvergensi!$C$390;2);PANGKAT(Normalisasi!$L$13-Konvergensi!$D$390;2);PANGKAT(Normalisasi!$M$13-Konvergensi!$E$390;2);PANGKAT(Normalisasi!$N$13-Konvergensi!$F$390;2);PANGKAT(Normalisasi!$O$13-Konvergensi!$G$390;2);PANGKAT(Normalisasi!$P$13-Konvergensi!$H$390;2));0);JIKA(F347=2;JUMLAH(PANGKAT(Normalisasi!$J$13-Konvergensi!$B$391;2);PANGKAT(Normalisasi!$K$13-Konvergensi!$C$391;2);PANGKAT(Normalisasi!$L$13-Konvergensi!$D$391;2);PANGKAT(Normalisasi!$M$13-Konvergensi!$E$391;2);PANGKAT(Normalisasi!$N$13-Konvergensi!$F$391;2);PANGKAT(Normalisasi!$O$13-Konvergensi!$G$391;2);PANGKAT(Normalisasi!$P$13-Konvergensi!$H$391;2));0))</f>
        <v/>
      </c>
      <c r="H347" t="n">
        <v>1</v>
      </c>
      <c r="I347" t="n">
        <v>7.177787267379674</v>
      </c>
    </row>
    <row r="348">
      <c r="A348">
        <f>Data_Awal!A14</f>
        <v/>
      </c>
      <c r="B348">
        <f>Data_Awal!B14</f>
        <v/>
      </c>
      <c r="C348">
        <f>AKAR(JUMLAH(PANGKAT(Normalisasi!$J$14-Konvergensi!$B$324;2);PANGKAT(Normalisasi!$K$14-Konvergensi!$C$324;2);PANGKAT(Normalisasi!$L$14-Konvergensi!$D$324;2);PANGKAT(Normalisasi!$M$14-Konvergensi!$E$324;2);PANGKAT(Normalisasi!$N$14-Konvergensi!$F$324;2);PANGKAT(Normalisasi!$O$14-Konvergensi!$G$324;2);PANGKAT(Normalisasi!$P$14-Konvergensi!$H$324;2)))</f>
        <v/>
      </c>
      <c r="D348">
        <f>AKAR(JUMLAH(PANGKAT(Normalisasi!$J$14-Konvergensi!$B$325;2);PANGKAT(Normalisasi!$K$14-Konvergensi!$C$325;2);PANGKAT(Normalisasi!$L$14-Konvergensi!$D$325;2);PANGKAT(Normalisasi!$M$14-Konvergensi!$E$325;2);PANGKAT(Normalisasi!$N$14-Konvergensi!$F$325;2);PANGKAT(Normalisasi!$O$14-Konvergensi!$G$325;2);PANGKAT(Normalisasi!$P$14-Konvergensi!$H$325;2)))</f>
        <v/>
      </c>
      <c r="E348">
        <f>AKAR(JUMLAH(PANGKAT(Normalisasi!$J$14-Konvergensi!$B$326;2);PANGKAT(Normalisasi!$K$14-Konvergensi!$C$326;2);PANGKAT(Normalisasi!$L$14-Konvergensi!$D$326;2);PANGKAT(Normalisasi!$M$14-Konvergensi!$E$326;2);PANGKAT(Normalisasi!$N$14-Konvergensi!$F$326;2);PANGKAT(Normalisasi!$O$14-Konvergensi!$G$326;2);PANGKAT(Normalisasi!$P$14-Konvergensi!$H$326;2)))</f>
        <v/>
      </c>
      <c r="F348">
        <f>JIKA(C348&lt;=D348;=JIKA(C348&lt;=E348;0;2);=JIKA(D348&lt;=E348;1;2))</f>
        <v/>
      </c>
      <c r="G348">
        <f>JUMLAH(JIKA(F348=0;JUMLAH(PANGKAT(Normalisasi!$J$14-Konvergensi!$B$389;2);PANGKAT(Normalisasi!$K$14-Konvergensi!$C$389;2);PANGKAT(Normalisasi!$L$14-Konvergensi!$D$389;2);PANGKAT(Normalisasi!$M$14-Konvergensi!$E$389;2);PANGKAT(Normalisasi!$N$14-Konvergensi!$F$389;2);PANGKAT(Normalisasi!$O$14-Konvergensi!$G$389;2);PANGKAT(Normalisasi!$P$14-Konvergensi!$H$389;2));0);JIKA(F348=1;JUMLAH(PANGKAT(Normalisasi!$J$14-Konvergensi!$B$390;2);PANGKAT(Normalisasi!$K$14-Konvergensi!$C$390;2);PANGKAT(Normalisasi!$L$14-Konvergensi!$D$390;2);PANGKAT(Normalisasi!$M$14-Konvergensi!$E$390;2);PANGKAT(Normalisasi!$N$14-Konvergensi!$F$390;2);PANGKAT(Normalisasi!$O$14-Konvergensi!$G$390;2);PANGKAT(Normalisasi!$P$14-Konvergensi!$H$390;2));0);JIKA(F348=2;JUMLAH(PANGKAT(Normalisasi!$J$14-Konvergensi!$B$391;2);PANGKAT(Normalisasi!$K$14-Konvergensi!$C$391;2);PANGKAT(Normalisasi!$L$14-Konvergensi!$D$391;2);PANGKAT(Normalisasi!$M$14-Konvergensi!$E$391;2);PANGKAT(Normalisasi!$N$14-Konvergensi!$F$391;2);PANGKAT(Normalisasi!$O$14-Konvergensi!$G$391;2);PANGKAT(Normalisasi!$P$14-Konvergensi!$H$391;2));0))</f>
        <v/>
      </c>
      <c r="H348" t="n">
        <v>2</v>
      </c>
      <c r="I348" t="n">
        <v>3.446724098386148</v>
      </c>
    </row>
    <row r="349">
      <c r="A349">
        <f>Data_Awal!A15</f>
        <v/>
      </c>
      <c r="B349">
        <f>Data_Awal!B15</f>
        <v/>
      </c>
      <c r="C349">
        <f>AKAR(JUMLAH(PANGKAT(Normalisasi!$J$15-Konvergensi!$B$324;2);PANGKAT(Normalisasi!$K$15-Konvergensi!$C$324;2);PANGKAT(Normalisasi!$L$15-Konvergensi!$D$324;2);PANGKAT(Normalisasi!$M$15-Konvergensi!$E$324;2);PANGKAT(Normalisasi!$N$15-Konvergensi!$F$324;2);PANGKAT(Normalisasi!$O$15-Konvergensi!$G$324;2);PANGKAT(Normalisasi!$P$15-Konvergensi!$H$324;2)))</f>
        <v/>
      </c>
      <c r="D349">
        <f>AKAR(JUMLAH(PANGKAT(Normalisasi!$J$15-Konvergensi!$B$325;2);PANGKAT(Normalisasi!$K$15-Konvergensi!$C$325;2);PANGKAT(Normalisasi!$L$15-Konvergensi!$D$325;2);PANGKAT(Normalisasi!$M$15-Konvergensi!$E$325;2);PANGKAT(Normalisasi!$N$15-Konvergensi!$F$325;2);PANGKAT(Normalisasi!$O$15-Konvergensi!$G$325;2);PANGKAT(Normalisasi!$P$15-Konvergensi!$H$325;2)))</f>
        <v/>
      </c>
      <c r="E349">
        <f>AKAR(JUMLAH(PANGKAT(Normalisasi!$J$15-Konvergensi!$B$326;2);PANGKAT(Normalisasi!$K$15-Konvergensi!$C$326;2);PANGKAT(Normalisasi!$L$15-Konvergensi!$D$326;2);PANGKAT(Normalisasi!$M$15-Konvergensi!$E$326;2);PANGKAT(Normalisasi!$N$15-Konvergensi!$F$326;2);PANGKAT(Normalisasi!$O$15-Konvergensi!$G$326;2);PANGKAT(Normalisasi!$P$15-Konvergensi!$H$326;2)))</f>
        <v/>
      </c>
      <c r="F349">
        <f>JIKA(C349&lt;=D349;=JIKA(C349&lt;=E349;0;2);=JIKA(D349&lt;=E349;1;2))</f>
        <v/>
      </c>
      <c r="G349">
        <f>JUMLAH(JIKA(F349=0;JUMLAH(PANGKAT(Normalisasi!$J$15-Konvergensi!$B$389;2);PANGKAT(Normalisasi!$K$15-Konvergensi!$C$389;2);PANGKAT(Normalisasi!$L$15-Konvergensi!$D$389;2);PANGKAT(Normalisasi!$M$15-Konvergensi!$E$389;2);PANGKAT(Normalisasi!$N$15-Konvergensi!$F$389;2);PANGKAT(Normalisasi!$O$15-Konvergensi!$G$389;2);PANGKAT(Normalisasi!$P$15-Konvergensi!$H$389;2));0);JIKA(F349=1;JUMLAH(PANGKAT(Normalisasi!$J$15-Konvergensi!$B$390;2);PANGKAT(Normalisasi!$K$15-Konvergensi!$C$390;2);PANGKAT(Normalisasi!$L$15-Konvergensi!$D$390;2);PANGKAT(Normalisasi!$M$15-Konvergensi!$E$390;2);PANGKAT(Normalisasi!$N$15-Konvergensi!$F$390;2);PANGKAT(Normalisasi!$O$15-Konvergensi!$G$390;2);PANGKAT(Normalisasi!$P$15-Konvergensi!$H$390;2));0);JIKA(F349=2;JUMLAH(PANGKAT(Normalisasi!$J$15-Konvergensi!$B$391;2);PANGKAT(Normalisasi!$K$15-Konvergensi!$C$391;2);PANGKAT(Normalisasi!$L$15-Konvergensi!$D$391;2);PANGKAT(Normalisasi!$M$15-Konvergensi!$E$391;2);PANGKAT(Normalisasi!$N$15-Konvergensi!$F$391;2);PANGKAT(Normalisasi!$O$15-Konvergensi!$G$391;2);PANGKAT(Normalisasi!$P$15-Konvergensi!$H$391;2));0))</f>
        <v/>
      </c>
      <c r="H349" t="n">
        <v>0</v>
      </c>
      <c r="I349" t="n">
        <v>3.42000489486838</v>
      </c>
    </row>
    <row r="350">
      <c r="A350">
        <f>Data_Awal!A16</f>
        <v/>
      </c>
      <c r="B350">
        <f>Data_Awal!B16</f>
        <v/>
      </c>
      <c r="C350">
        <f>AKAR(JUMLAH(PANGKAT(Normalisasi!$J$16-Konvergensi!$B$324;2);PANGKAT(Normalisasi!$K$16-Konvergensi!$C$324;2);PANGKAT(Normalisasi!$L$16-Konvergensi!$D$324;2);PANGKAT(Normalisasi!$M$16-Konvergensi!$E$324;2);PANGKAT(Normalisasi!$N$16-Konvergensi!$F$324;2);PANGKAT(Normalisasi!$O$16-Konvergensi!$G$324;2);PANGKAT(Normalisasi!$P$16-Konvergensi!$H$324;2)))</f>
        <v/>
      </c>
      <c r="D350">
        <f>AKAR(JUMLAH(PANGKAT(Normalisasi!$J$16-Konvergensi!$B$325;2);PANGKAT(Normalisasi!$K$16-Konvergensi!$C$325;2);PANGKAT(Normalisasi!$L$16-Konvergensi!$D$325;2);PANGKAT(Normalisasi!$M$16-Konvergensi!$E$325;2);PANGKAT(Normalisasi!$N$16-Konvergensi!$F$325;2);PANGKAT(Normalisasi!$O$16-Konvergensi!$G$325;2);PANGKAT(Normalisasi!$P$16-Konvergensi!$H$325;2)))</f>
        <v/>
      </c>
      <c r="E350">
        <f>AKAR(JUMLAH(PANGKAT(Normalisasi!$J$16-Konvergensi!$B$326;2);PANGKAT(Normalisasi!$K$16-Konvergensi!$C$326;2);PANGKAT(Normalisasi!$L$16-Konvergensi!$D$326;2);PANGKAT(Normalisasi!$M$16-Konvergensi!$E$326;2);PANGKAT(Normalisasi!$N$16-Konvergensi!$F$326;2);PANGKAT(Normalisasi!$O$16-Konvergensi!$G$326;2);PANGKAT(Normalisasi!$P$16-Konvergensi!$H$326;2)))</f>
        <v/>
      </c>
      <c r="F350">
        <f>JIKA(C350&lt;=D350;=JIKA(C350&lt;=E350;0;2);=JIKA(D350&lt;=E350;1;2))</f>
        <v/>
      </c>
      <c r="G350">
        <f>JUMLAH(JIKA(F350=0;JUMLAH(PANGKAT(Normalisasi!$J$16-Konvergensi!$B$389;2);PANGKAT(Normalisasi!$K$16-Konvergensi!$C$389;2);PANGKAT(Normalisasi!$L$16-Konvergensi!$D$389;2);PANGKAT(Normalisasi!$M$16-Konvergensi!$E$389;2);PANGKAT(Normalisasi!$N$16-Konvergensi!$F$389;2);PANGKAT(Normalisasi!$O$16-Konvergensi!$G$389;2);PANGKAT(Normalisasi!$P$16-Konvergensi!$H$389;2));0);JIKA(F350=1;JUMLAH(PANGKAT(Normalisasi!$J$16-Konvergensi!$B$390;2);PANGKAT(Normalisasi!$K$16-Konvergensi!$C$390;2);PANGKAT(Normalisasi!$L$16-Konvergensi!$D$390;2);PANGKAT(Normalisasi!$M$16-Konvergensi!$E$390;2);PANGKAT(Normalisasi!$N$16-Konvergensi!$F$390;2);PANGKAT(Normalisasi!$O$16-Konvergensi!$G$390;2);PANGKAT(Normalisasi!$P$16-Konvergensi!$H$390;2));0);JIKA(F350=2;JUMLAH(PANGKAT(Normalisasi!$J$16-Konvergensi!$B$391;2);PANGKAT(Normalisasi!$K$16-Konvergensi!$C$391;2);PANGKAT(Normalisasi!$L$16-Konvergensi!$D$391;2);PANGKAT(Normalisasi!$M$16-Konvergensi!$E$391;2);PANGKAT(Normalisasi!$N$16-Konvergensi!$F$391;2);PANGKAT(Normalisasi!$O$16-Konvergensi!$G$391;2);PANGKAT(Normalisasi!$P$16-Konvergensi!$H$391;2));0))</f>
        <v/>
      </c>
      <c r="H350" t="n">
        <v>1</v>
      </c>
      <c r="I350" t="n">
        <v>7.366768957039133</v>
      </c>
    </row>
    <row r="351">
      <c r="A351">
        <f>Data_Awal!A17</f>
        <v/>
      </c>
      <c r="B351">
        <f>Data_Awal!B17</f>
        <v/>
      </c>
      <c r="C351">
        <f>AKAR(JUMLAH(PANGKAT(Normalisasi!$J$17-Konvergensi!$B$324;2);PANGKAT(Normalisasi!$K$17-Konvergensi!$C$324;2);PANGKAT(Normalisasi!$L$17-Konvergensi!$D$324;2);PANGKAT(Normalisasi!$M$17-Konvergensi!$E$324;2);PANGKAT(Normalisasi!$N$17-Konvergensi!$F$324;2);PANGKAT(Normalisasi!$O$17-Konvergensi!$G$324;2);PANGKAT(Normalisasi!$P$17-Konvergensi!$H$324;2)))</f>
        <v/>
      </c>
      <c r="D351">
        <f>AKAR(JUMLAH(PANGKAT(Normalisasi!$J$17-Konvergensi!$B$325;2);PANGKAT(Normalisasi!$K$17-Konvergensi!$C$325;2);PANGKAT(Normalisasi!$L$17-Konvergensi!$D$325;2);PANGKAT(Normalisasi!$M$17-Konvergensi!$E$325;2);PANGKAT(Normalisasi!$N$17-Konvergensi!$F$325;2);PANGKAT(Normalisasi!$O$17-Konvergensi!$G$325;2);PANGKAT(Normalisasi!$P$17-Konvergensi!$H$325;2)))</f>
        <v/>
      </c>
      <c r="E351">
        <f>AKAR(JUMLAH(PANGKAT(Normalisasi!$J$17-Konvergensi!$B$326;2);PANGKAT(Normalisasi!$K$17-Konvergensi!$C$326;2);PANGKAT(Normalisasi!$L$17-Konvergensi!$D$326;2);PANGKAT(Normalisasi!$M$17-Konvergensi!$E$326;2);PANGKAT(Normalisasi!$N$17-Konvergensi!$F$326;2);PANGKAT(Normalisasi!$O$17-Konvergensi!$G$326;2);PANGKAT(Normalisasi!$P$17-Konvergensi!$H$326;2)))</f>
        <v/>
      </c>
      <c r="F351">
        <f>JIKA(C351&lt;=D351;=JIKA(C351&lt;=E351;0;2);=JIKA(D351&lt;=E351;1;2))</f>
        <v/>
      </c>
      <c r="G351">
        <f>JUMLAH(JIKA(F351=0;JUMLAH(PANGKAT(Normalisasi!$J$17-Konvergensi!$B$389;2);PANGKAT(Normalisasi!$K$17-Konvergensi!$C$389;2);PANGKAT(Normalisasi!$L$17-Konvergensi!$D$389;2);PANGKAT(Normalisasi!$M$17-Konvergensi!$E$389;2);PANGKAT(Normalisasi!$N$17-Konvergensi!$F$389;2);PANGKAT(Normalisasi!$O$17-Konvergensi!$G$389;2);PANGKAT(Normalisasi!$P$17-Konvergensi!$H$389;2));0);JIKA(F351=1;JUMLAH(PANGKAT(Normalisasi!$J$17-Konvergensi!$B$390;2);PANGKAT(Normalisasi!$K$17-Konvergensi!$C$390;2);PANGKAT(Normalisasi!$L$17-Konvergensi!$D$390;2);PANGKAT(Normalisasi!$M$17-Konvergensi!$E$390;2);PANGKAT(Normalisasi!$N$17-Konvergensi!$F$390;2);PANGKAT(Normalisasi!$O$17-Konvergensi!$G$390;2);PANGKAT(Normalisasi!$P$17-Konvergensi!$H$390;2));0);JIKA(F351=2;JUMLAH(PANGKAT(Normalisasi!$J$17-Konvergensi!$B$391;2);PANGKAT(Normalisasi!$K$17-Konvergensi!$C$391;2);PANGKAT(Normalisasi!$L$17-Konvergensi!$D$391;2);PANGKAT(Normalisasi!$M$17-Konvergensi!$E$391;2);PANGKAT(Normalisasi!$N$17-Konvergensi!$F$391;2);PANGKAT(Normalisasi!$O$17-Konvergensi!$G$391;2);PANGKAT(Normalisasi!$P$17-Konvergensi!$H$391;2));0))</f>
        <v/>
      </c>
      <c r="H351" t="n">
        <v>1</v>
      </c>
      <c r="I351" t="n">
        <v>3.761388872614771</v>
      </c>
    </row>
    <row r="352">
      <c r="A352">
        <f>Data_Awal!A18</f>
        <v/>
      </c>
      <c r="B352">
        <f>Data_Awal!B18</f>
        <v/>
      </c>
      <c r="C352">
        <f>AKAR(JUMLAH(PANGKAT(Normalisasi!$J$18-Konvergensi!$B$324;2);PANGKAT(Normalisasi!$K$18-Konvergensi!$C$324;2);PANGKAT(Normalisasi!$L$18-Konvergensi!$D$324;2);PANGKAT(Normalisasi!$M$18-Konvergensi!$E$324;2);PANGKAT(Normalisasi!$N$18-Konvergensi!$F$324;2);PANGKAT(Normalisasi!$O$18-Konvergensi!$G$324;2);PANGKAT(Normalisasi!$P$18-Konvergensi!$H$324;2)))</f>
        <v/>
      </c>
      <c r="D352">
        <f>AKAR(JUMLAH(PANGKAT(Normalisasi!$J$18-Konvergensi!$B$325;2);PANGKAT(Normalisasi!$K$18-Konvergensi!$C$325;2);PANGKAT(Normalisasi!$L$18-Konvergensi!$D$325;2);PANGKAT(Normalisasi!$M$18-Konvergensi!$E$325;2);PANGKAT(Normalisasi!$N$18-Konvergensi!$F$325;2);PANGKAT(Normalisasi!$O$18-Konvergensi!$G$325;2);PANGKAT(Normalisasi!$P$18-Konvergensi!$H$325;2)))</f>
        <v/>
      </c>
      <c r="E352">
        <f>AKAR(JUMLAH(PANGKAT(Normalisasi!$J$18-Konvergensi!$B$326;2);PANGKAT(Normalisasi!$K$18-Konvergensi!$C$326;2);PANGKAT(Normalisasi!$L$18-Konvergensi!$D$326;2);PANGKAT(Normalisasi!$M$18-Konvergensi!$E$326;2);PANGKAT(Normalisasi!$N$18-Konvergensi!$F$326;2);PANGKAT(Normalisasi!$O$18-Konvergensi!$G$326;2);PANGKAT(Normalisasi!$P$18-Konvergensi!$H$326;2)))</f>
        <v/>
      </c>
      <c r="F352">
        <f>JIKA(C352&lt;=D352;=JIKA(C352&lt;=E352;0;2);=JIKA(D352&lt;=E352;1;2))</f>
        <v/>
      </c>
      <c r="G352">
        <f>JUMLAH(JIKA(F352=0;JUMLAH(PANGKAT(Normalisasi!$J$18-Konvergensi!$B$389;2);PANGKAT(Normalisasi!$K$18-Konvergensi!$C$389;2);PANGKAT(Normalisasi!$L$18-Konvergensi!$D$389;2);PANGKAT(Normalisasi!$M$18-Konvergensi!$E$389;2);PANGKAT(Normalisasi!$N$18-Konvergensi!$F$389;2);PANGKAT(Normalisasi!$O$18-Konvergensi!$G$389;2);PANGKAT(Normalisasi!$P$18-Konvergensi!$H$389;2));0);JIKA(F352=1;JUMLAH(PANGKAT(Normalisasi!$J$18-Konvergensi!$B$390;2);PANGKAT(Normalisasi!$K$18-Konvergensi!$C$390;2);PANGKAT(Normalisasi!$L$18-Konvergensi!$D$390;2);PANGKAT(Normalisasi!$M$18-Konvergensi!$E$390;2);PANGKAT(Normalisasi!$N$18-Konvergensi!$F$390;2);PANGKAT(Normalisasi!$O$18-Konvergensi!$G$390;2);PANGKAT(Normalisasi!$P$18-Konvergensi!$H$390;2));0);JIKA(F352=2;JUMLAH(PANGKAT(Normalisasi!$J$18-Konvergensi!$B$391;2);PANGKAT(Normalisasi!$K$18-Konvergensi!$C$391;2);PANGKAT(Normalisasi!$L$18-Konvergensi!$D$391;2);PANGKAT(Normalisasi!$M$18-Konvergensi!$E$391;2);PANGKAT(Normalisasi!$N$18-Konvergensi!$F$391;2);PANGKAT(Normalisasi!$O$18-Konvergensi!$G$391;2);PANGKAT(Normalisasi!$P$18-Konvergensi!$H$391;2));0))</f>
        <v/>
      </c>
      <c r="H352" t="n">
        <v>0</v>
      </c>
      <c r="I352" t="n">
        <v>6.66345378028725</v>
      </c>
    </row>
    <row r="353">
      <c r="A353">
        <f>Data_Awal!A19</f>
        <v/>
      </c>
      <c r="B353">
        <f>Data_Awal!B19</f>
        <v/>
      </c>
      <c r="C353">
        <f>AKAR(JUMLAH(PANGKAT(Normalisasi!$J$19-Konvergensi!$B$324;2);PANGKAT(Normalisasi!$K$19-Konvergensi!$C$324;2);PANGKAT(Normalisasi!$L$19-Konvergensi!$D$324;2);PANGKAT(Normalisasi!$M$19-Konvergensi!$E$324;2);PANGKAT(Normalisasi!$N$19-Konvergensi!$F$324;2);PANGKAT(Normalisasi!$O$19-Konvergensi!$G$324;2);PANGKAT(Normalisasi!$P$19-Konvergensi!$H$324;2)))</f>
        <v/>
      </c>
      <c r="D353">
        <f>AKAR(JUMLAH(PANGKAT(Normalisasi!$J$19-Konvergensi!$B$325;2);PANGKAT(Normalisasi!$K$19-Konvergensi!$C$325;2);PANGKAT(Normalisasi!$L$19-Konvergensi!$D$325;2);PANGKAT(Normalisasi!$M$19-Konvergensi!$E$325;2);PANGKAT(Normalisasi!$N$19-Konvergensi!$F$325;2);PANGKAT(Normalisasi!$O$19-Konvergensi!$G$325;2);PANGKAT(Normalisasi!$P$19-Konvergensi!$H$325;2)))</f>
        <v/>
      </c>
      <c r="E353">
        <f>AKAR(JUMLAH(PANGKAT(Normalisasi!$J$19-Konvergensi!$B$326;2);PANGKAT(Normalisasi!$K$19-Konvergensi!$C$326;2);PANGKAT(Normalisasi!$L$19-Konvergensi!$D$326;2);PANGKAT(Normalisasi!$M$19-Konvergensi!$E$326;2);PANGKAT(Normalisasi!$N$19-Konvergensi!$F$326;2);PANGKAT(Normalisasi!$O$19-Konvergensi!$G$326;2);PANGKAT(Normalisasi!$P$19-Konvergensi!$H$326;2)))</f>
        <v/>
      </c>
      <c r="F353">
        <f>JIKA(C353&lt;=D353;=JIKA(C353&lt;=E353;0;2);=JIKA(D353&lt;=E353;1;2))</f>
        <v/>
      </c>
      <c r="G353">
        <f>JUMLAH(JIKA(F353=0;JUMLAH(PANGKAT(Normalisasi!$J$19-Konvergensi!$B$389;2);PANGKAT(Normalisasi!$K$19-Konvergensi!$C$389;2);PANGKAT(Normalisasi!$L$19-Konvergensi!$D$389;2);PANGKAT(Normalisasi!$M$19-Konvergensi!$E$389;2);PANGKAT(Normalisasi!$N$19-Konvergensi!$F$389;2);PANGKAT(Normalisasi!$O$19-Konvergensi!$G$389;2);PANGKAT(Normalisasi!$P$19-Konvergensi!$H$389;2));0);JIKA(F353=1;JUMLAH(PANGKAT(Normalisasi!$J$19-Konvergensi!$B$390;2);PANGKAT(Normalisasi!$K$19-Konvergensi!$C$390;2);PANGKAT(Normalisasi!$L$19-Konvergensi!$D$390;2);PANGKAT(Normalisasi!$M$19-Konvergensi!$E$390;2);PANGKAT(Normalisasi!$N$19-Konvergensi!$F$390;2);PANGKAT(Normalisasi!$O$19-Konvergensi!$G$390;2);PANGKAT(Normalisasi!$P$19-Konvergensi!$H$390;2));0);JIKA(F353=2;JUMLAH(PANGKAT(Normalisasi!$J$19-Konvergensi!$B$391;2);PANGKAT(Normalisasi!$K$19-Konvergensi!$C$391;2);PANGKAT(Normalisasi!$L$19-Konvergensi!$D$391;2);PANGKAT(Normalisasi!$M$19-Konvergensi!$E$391;2);PANGKAT(Normalisasi!$N$19-Konvergensi!$F$391;2);PANGKAT(Normalisasi!$O$19-Konvergensi!$G$391;2);PANGKAT(Normalisasi!$P$19-Konvergensi!$H$391;2));0))</f>
        <v/>
      </c>
      <c r="H353" t="n">
        <v>0</v>
      </c>
      <c r="I353" t="n">
        <v>2.114138658273988</v>
      </c>
    </row>
    <row r="354">
      <c r="A354">
        <f>Data_Awal!A20</f>
        <v/>
      </c>
      <c r="B354">
        <f>Data_Awal!B20</f>
        <v/>
      </c>
      <c r="C354">
        <f>AKAR(JUMLAH(PANGKAT(Normalisasi!$J$20-Konvergensi!$B$324;2);PANGKAT(Normalisasi!$K$20-Konvergensi!$C$324;2);PANGKAT(Normalisasi!$L$20-Konvergensi!$D$324;2);PANGKAT(Normalisasi!$M$20-Konvergensi!$E$324;2);PANGKAT(Normalisasi!$N$20-Konvergensi!$F$324;2);PANGKAT(Normalisasi!$O$20-Konvergensi!$G$324;2);PANGKAT(Normalisasi!$P$20-Konvergensi!$H$324;2)))</f>
        <v/>
      </c>
      <c r="D354">
        <f>AKAR(JUMLAH(PANGKAT(Normalisasi!$J$20-Konvergensi!$B$325;2);PANGKAT(Normalisasi!$K$20-Konvergensi!$C$325;2);PANGKAT(Normalisasi!$L$20-Konvergensi!$D$325;2);PANGKAT(Normalisasi!$M$20-Konvergensi!$E$325;2);PANGKAT(Normalisasi!$N$20-Konvergensi!$F$325;2);PANGKAT(Normalisasi!$O$20-Konvergensi!$G$325;2);PANGKAT(Normalisasi!$P$20-Konvergensi!$H$325;2)))</f>
        <v/>
      </c>
      <c r="E354">
        <f>AKAR(JUMLAH(PANGKAT(Normalisasi!$J$20-Konvergensi!$B$326;2);PANGKAT(Normalisasi!$K$20-Konvergensi!$C$326;2);PANGKAT(Normalisasi!$L$20-Konvergensi!$D$326;2);PANGKAT(Normalisasi!$M$20-Konvergensi!$E$326;2);PANGKAT(Normalisasi!$N$20-Konvergensi!$F$326;2);PANGKAT(Normalisasi!$O$20-Konvergensi!$G$326;2);PANGKAT(Normalisasi!$P$20-Konvergensi!$H$326;2)))</f>
        <v/>
      </c>
      <c r="F354">
        <f>JIKA(C354&lt;=D354;=JIKA(C354&lt;=E354;0;2);=JIKA(D354&lt;=E354;1;2))</f>
        <v/>
      </c>
      <c r="G354">
        <f>JUMLAH(JIKA(F354=0;JUMLAH(PANGKAT(Normalisasi!$J$20-Konvergensi!$B$389;2);PANGKAT(Normalisasi!$K$20-Konvergensi!$C$389;2);PANGKAT(Normalisasi!$L$20-Konvergensi!$D$389;2);PANGKAT(Normalisasi!$M$20-Konvergensi!$E$389;2);PANGKAT(Normalisasi!$N$20-Konvergensi!$F$389;2);PANGKAT(Normalisasi!$O$20-Konvergensi!$G$389;2);PANGKAT(Normalisasi!$P$20-Konvergensi!$H$389;2));0);JIKA(F354=1;JUMLAH(PANGKAT(Normalisasi!$J$20-Konvergensi!$B$390;2);PANGKAT(Normalisasi!$K$20-Konvergensi!$C$390;2);PANGKAT(Normalisasi!$L$20-Konvergensi!$D$390;2);PANGKAT(Normalisasi!$M$20-Konvergensi!$E$390;2);PANGKAT(Normalisasi!$N$20-Konvergensi!$F$390;2);PANGKAT(Normalisasi!$O$20-Konvergensi!$G$390;2);PANGKAT(Normalisasi!$P$20-Konvergensi!$H$390;2));0);JIKA(F354=2;JUMLAH(PANGKAT(Normalisasi!$J$20-Konvergensi!$B$391;2);PANGKAT(Normalisasi!$K$20-Konvergensi!$C$391;2);PANGKAT(Normalisasi!$L$20-Konvergensi!$D$391;2);PANGKAT(Normalisasi!$M$20-Konvergensi!$E$391;2);PANGKAT(Normalisasi!$N$20-Konvergensi!$F$391;2);PANGKAT(Normalisasi!$O$20-Konvergensi!$G$391;2);PANGKAT(Normalisasi!$P$20-Konvergensi!$H$391;2));0))</f>
        <v/>
      </c>
      <c r="H354" t="n">
        <v>0</v>
      </c>
      <c r="I354" t="n">
        <v>5.585332090100465</v>
      </c>
    </row>
    <row r="355">
      <c r="A355">
        <f>Data_Awal!A21</f>
        <v/>
      </c>
      <c r="B355">
        <f>Data_Awal!B21</f>
        <v/>
      </c>
      <c r="C355">
        <f>AKAR(JUMLAH(PANGKAT(Normalisasi!$J$21-Konvergensi!$B$324;2);PANGKAT(Normalisasi!$K$21-Konvergensi!$C$324;2);PANGKAT(Normalisasi!$L$21-Konvergensi!$D$324;2);PANGKAT(Normalisasi!$M$21-Konvergensi!$E$324;2);PANGKAT(Normalisasi!$N$21-Konvergensi!$F$324;2);PANGKAT(Normalisasi!$O$21-Konvergensi!$G$324;2);PANGKAT(Normalisasi!$P$21-Konvergensi!$H$324;2)))</f>
        <v/>
      </c>
      <c r="D355">
        <f>AKAR(JUMLAH(PANGKAT(Normalisasi!$J$21-Konvergensi!$B$325;2);PANGKAT(Normalisasi!$K$21-Konvergensi!$C$325;2);PANGKAT(Normalisasi!$L$21-Konvergensi!$D$325;2);PANGKAT(Normalisasi!$M$21-Konvergensi!$E$325;2);PANGKAT(Normalisasi!$N$21-Konvergensi!$F$325;2);PANGKAT(Normalisasi!$O$21-Konvergensi!$G$325;2);PANGKAT(Normalisasi!$P$21-Konvergensi!$H$325;2)))</f>
        <v/>
      </c>
      <c r="E355">
        <f>AKAR(JUMLAH(PANGKAT(Normalisasi!$J$21-Konvergensi!$B$326;2);PANGKAT(Normalisasi!$K$21-Konvergensi!$C$326;2);PANGKAT(Normalisasi!$L$21-Konvergensi!$D$326;2);PANGKAT(Normalisasi!$M$21-Konvergensi!$E$326;2);PANGKAT(Normalisasi!$N$21-Konvergensi!$F$326;2);PANGKAT(Normalisasi!$O$21-Konvergensi!$G$326;2);PANGKAT(Normalisasi!$P$21-Konvergensi!$H$326;2)))</f>
        <v/>
      </c>
      <c r="F355">
        <f>JIKA(C355&lt;=D355;=JIKA(C355&lt;=E355;0;2);=JIKA(D355&lt;=E355;1;2))</f>
        <v/>
      </c>
      <c r="G355">
        <f>JUMLAH(JIKA(F355=0;JUMLAH(PANGKAT(Normalisasi!$J$21-Konvergensi!$B$389;2);PANGKAT(Normalisasi!$K$21-Konvergensi!$C$389;2);PANGKAT(Normalisasi!$L$21-Konvergensi!$D$389;2);PANGKAT(Normalisasi!$M$21-Konvergensi!$E$389;2);PANGKAT(Normalisasi!$N$21-Konvergensi!$F$389;2);PANGKAT(Normalisasi!$O$21-Konvergensi!$G$389;2);PANGKAT(Normalisasi!$P$21-Konvergensi!$H$389;2));0);JIKA(F355=1;JUMLAH(PANGKAT(Normalisasi!$J$21-Konvergensi!$B$390;2);PANGKAT(Normalisasi!$K$21-Konvergensi!$C$390;2);PANGKAT(Normalisasi!$L$21-Konvergensi!$D$390;2);PANGKAT(Normalisasi!$M$21-Konvergensi!$E$390;2);PANGKAT(Normalisasi!$N$21-Konvergensi!$F$390;2);PANGKAT(Normalisasi!$O$21-Konvergensi!$G$390;2);PANGKAT(Normalisasi!$P$21-Konvergensi!$H$390;2));0);JIKA(F355=2;JUMLAH(PANGKAT(Normalisasi!$J$21-Konvergensi!$B$391;2);PANGKAT(Normalisasi!$K$21-Konvergensi!$C$391;2);PANGKAT(Normalisasi!$L$21-Konvergensi!$D$391;2);PANGKAT(Normalisasi!$M$21-Konvergensi!$E$391;2);PANGKAT(Normalisasi!$N$21-Konvergensi!$F$391;2);PANGKAT(Normalisasi!$O$21-Konvergensi!$G$391;2);PANGKAT(Normalisasi!$P$21-Konvergensi!$H$391;2));0))</f>
        <v/>
      </c>
      <c r="H355" t="n">
        <v>2</v>
      </c>
      <c r="I355" t="n">
        <v>5.902058158907582</v>
      </c>
    </row>
    <row r="356">
      <c r="A356">
        <f>Data_Awal!A22</f>
        <v/>
      </c>
      <c r="B356">
        <f>Data_Awal!B22</f>
        <v/>
      </c>
      <c r="C356">
        <f>AKAR(JUMLAH(PANGKAT(Normalisasi!$J$22-Konvergensi!$B$324;2);PANGKAT(Normalisasi!$K$22-Konvergensi!$C$324;2);PANGKAT(Normalisasi!$L$22-Konvergensi!$D$324;2);PANGKAT(Normalisasi!$M$22-Konvergensi!$E$324;2);PANGKAT(Normalisasi!$N$22-Konvergensi!$F$324;2);PANGKAT(Normalisasi!$O$22-Konvergensi!$G$324;2);PANGKAT(Normalisasi!$P$22-Konvergensi!$H$324;2)))</f>
        <v/>
      </c>
      <c r="D356">
        <f>AKAR(JUMLAH(PANGKAT(Normalisasi!$J$22-Konvergensi!$B$325;2);PANGKAT(Normalisasi!$K$22-Konvergensi!$C$325;2);PANGKAT(Normalisasi!$L$22-Konvergensi!$D$325;2);PANGKAT(Normalisasi!$M$22-Konvergensi!$E$325;2);PANGKAT(Normalisasi!$N$22-Konvergensi!$F$325;2);PANGKAT(Normalisasi!$O$22-Konvergensi!$G$325;2);PANGKAT(Normalisasi!$P$22-Konvergensi!$H$325;2)))</f>
        <v/>
      </c>
      <c r="E356">
        <f>AKAR(JUMLAH(PANGKAT(Normalisasi!$J$22-Konvergensi!$B$326;2);PANGKAT(Normalisasi!$K$22-Konvergensi!$C$326;2);PANGKAT(Normalisasi!$L$22-Konvergensi!$D$326;2);PANGKAT(Normalisasi!$M$22-Konvergensi!$E$326;2);PANGKAT(Normalisasi!$N$22-Konvergensi!$F$326;2);PANGKAT(Normalisasi!$O$22-Konvergensi!$G$326;2);PANGKAT(Normalisasi!$P$22-Konvergensi!$H$326;2)))</f>
        <v/>
      </c>
      <c r="F356">
        <f>JIKA(C356&lt;=D356;=JIKA(C356&lt;=E356;0;2);=JIKA(D356&lt;=E356;1;2))</f>
        <v/>
      </c>
      <c r="G356">
        <f>JUMLAH(JIKA(F356=0;JUMLAH(PANGKAT(Normalisasi!$J$22-Konvergensi!$B$389;2);PANGKAT(Normalisasi!$K$22-Konvergensi!$C$389;2);PANGKAT(Normalisasi!$L$22-Konvergensi!$D$389;2);PANGKAT(Normalisasi!$M$22-Konvergensi!$E$389;2);PANGKAT(Normalisasi!$N$22-Konvergensi!$F$389;2);PANGKAT(Normalisasi!$O$22-Konvergensi!$G$389;2);PANGKAT(Normalisasi!$P$22-Konvergensi!$H$389;2));0);JIKA(F356=1;JUMLAH(PANGKAT(Normalisasi!$J$22-Konvergensi!$B$390;2);PANGKAT(Normalisasi!$K$22-Konvergensi!$C$390;2);PANGKAT(Normalisasi!$L$22-Konvergensi!$D$390;2);PANGKAT(Normalisasi!$M$22-Konvergensi!$E$390;2);PANGKAT(Normalisasi!$N$22-Konvergensi!$F$390;2);PANGKAT(Normalisasi!$O$22-Konvergensi!$G$390;2);PANGKAT(Normalisasi!$P$22-Konvergensi!$H$390;2));0);JIKA(F356=2;JUMLAH(PANGKAT(Normalisasi!$J$22-Konvergensi!$B$391;2);PANGKAT(Normalisasi!$K$22-Konvergensi!$C$391;2);PANGKAT(Normalisasi!$L$22-Konvergensi!$D$391;2);PANGKAT(Normalisasi!$M$22-Konvergensi!$E$391;2);PANGKAT(Normalisasi!$N$22-Konvergensi!$F$391;2);PANGKAT(Normalisasi!$O$22-Konvergensi!$G$391;2);PANGKAT(Normalisasi!$P$22-Konvergensi!$H$391;2));0))</f>
        <v/>
      </c>
      <c r="H356" t="n">
        <v>0</v>
      </c>
      <c r="I356" t="n">
        <v>8.343632488564161</v>
      </c>
    </row>
    <row r="357">
      <c r="A357">
        <f>Data_Awal!A23</f>
        <v/>
      </c>
      <c r="B357">
        <f>Data_Awal!B23</f>
        <v/>
      </c>
      <c r="C357">
        <f>AKAR(JUMLAH(PANGKAT(Normalisasi!$J$23-Konvergensi!$B$324;2);PANGKAT(Normalisasi!$K$23-Konvergensi!$C$324;2);PANGKAT(Normalisasi!$L$23-Konvergensi!$D$324;2);PANGKAT(Normalisasi!$M$23-Konvergensi!$E$324;2);PANGKAT(Normalisasi!$N$23-Konvergensi!$F$324;2);PANGKAT(Normalisasi!$O$23-Konvergensi!$G$324;2);PANGKAT(Normalisasi!$P$23-Konvergensi!$H$324;2)))</f>
        <v/>
      </c>
      <c r="D357">
        <f>AKAR(JUMLAH(PANGKAT(Normalisasi!$J$23-Konvergensi!$B$325;2);PANGKAT(Normalisasi!$K$23-Konvergensi!$C$325;2);PANGKAT(Normalisasi!$L$23-Konvergensi!$D$325;2);PANGKAT(Normalisasi!$M$23-Konvergensi!$E$325;2);PANGKAT(Normalisasi!$N$23-Konvergensi!$F$325;2);PANGKAT(Normalisasi!$O$23-Konvergensi!$G$325;2);PANGKAT(Normalisasi!$P$23-Konvergensi!$H$325;2)))</f>
        <v/>
      </c>
      <c r="E357">
        <f>AKAR(JUMLAH(PANGKAT(Normalisasi!$J$23-Konvergensi!$B$326;2);PANGKAT(Normalisasi!$K$23-Konvergensi!$C$326;2);PANGKAT(Normalisasi!$L$23-Konvergensi!$D$326;2);PANGKAT(Normalisasi!$M$23-Konvergensi!$E$326;2);PANGKAT(Normalisasi!$N$23-Konvergensi!$F$326;2);PANGKAT(Normalisasi!$O$23-Konvergensi!$G$326;2);PANGKAT(Normalisasi!$P$23-Konvergensi!$H$326;2)))</f>
        <v/>
      </c>
      <c r="F357">
        <f>JIKA(C357&lt;=D357;=JIKA(C357&lt;=E357;0;2);=JIKA(D357&lt;=E357;1;2))</f>
        <v/>
      </c>
      <c r="G357">
        <f>JUMLAH(JIKA(F357=0;JUMLAH(PANGKAT(Normalisasi!$J$23-Konvergensi!$B$389;2);PANGKAT(Normalisasi!$K$23-Konvergensi!$C$389;2);PANGKAT(Normalisasi!$L$23-Konvergensi!$D$389;2);PANGKAT(Normalisasi!$M$23-Konvergensi!$E$389;2);PANGKAT(Normalisasi!$N$23-Konvergensi!$F$389;2);PANGKAT(Normalisasi!$O$23-Konvergensi!$G$389;2);PANGKAT(Normalisasi!$P$23-Konvergensi!$H$389;2));0);JIKA(F357=1;JUMLAH(PANGKAT(Normalisasi!$J$23-Konvergensi!$B$390;2);PANGKAT(Normalisasi!$K$23-Konvergensi!$C$390;2);PANGKAT(Normalisasi!$L$23-Konvergensi!$D$390;2);PANGKAT(Normalisasi!$M$23-Konvergensi!$E$390;2);PANGKAT(Normalisasi!$N$23-Konvergensi!$F$390;2);PANGKAT(Normalisasi!$O$23-Konvergensi!$G$390;2);PANGKAT(Normalisasi!$P$23-Konvergensi!$H$390;2));0);JIKA(F357=2;JUMLAH(PANGKAT(Normalisasi!$J$23-Konvergensi!$B$391;2);PANGKAT(Normalisasi!$K$23-Konvergensi!$C$391;2);PANGKAT(Normalisasi!$L$23-Konvergensi!$D$391;2);PANGKAT(Normalisasi!$M$23-Konvergensi!$E$391;2);PANGKAT(Normalisasi!$N$23-Konvergensi!$F$391;2);PANGKAT(Normalisasi!$O$23-Konvergensi!$G$391;2);PANGKAT(Normalisasi!$P$23-Konvergensi!$H$391;2));0))</f>
        <v/>
      </c>
      <c r="H357" t="n">
        <v>1</v>
      </c>
      <c r="I357" t="n">
        <v>6.57222347755811</v>
      </c>
    </row>
    <row r="358">
      <c r="A358">
        <f>Data_Awal!A24</f>
        <v/>
      </c>
      <c r="B358">
        <f>Data_Awal!B24</f>
        <v/>
      </c>
      <c r="C358">
        <f>AKAR(JUMLAH(PANGKAT(Normalisasi!$J$24-Konvergensi!$B$324;2);PANGKAT(Normalisasi!$K$24-Konvergensi!$C$324;2);PANGKAT(Normalisasi!$L$24-Konvergensi!$D$324;2);PANGKAT(Normalisasi!$M$24-Konvergensi!$E$324;2);PANGKAT(Normalisasi!$N$24-Konvergensi!$F$324;2);PANGKAT(Normalisasi!$O$24-Konvergensi!$G$324;2);PANGKAT(Normalisasi!$P$24-Konvergensi!$H$324;2)))</f>
        <v/>
      </c>
      <c r="D358">
        <f>AKAR(JUMLAH(PANGKAT(Normalisasi!$J$24-Konvergensi!$B$325;2);PANGKAT(Normalisasi!$K$24-Konvergensi!$C$325;2);PANGKAT(Normalisasi!$L$24-Konvergensi!$D$325;2);PANGKAT(Normalisasi!$M$24-Konvergensi!$E$325;2);PANGKAT(Normalisasi!$N$24-Konvergensi!$F$325;2);PANGKAT(Normalisasi!$O$24-Konvergensi!$G$325;2);PANGKAT(Normalisasi!$P$24-Konvergensi!$H$325;2)))</f>
        <v/>
      </c>
      <c r="E358">
        <f>AKAR(JUMLAH(PANGKAT(Normalisasi!$J$24-Konvergensi!$B$326;2);PANGKAT(Normalisasi!$K$24-Konvergensi!$C$326;2);PANGKAT(Normalisasi!$L$24-Konvergensi!$D$326;2);PANGKAT(Normalisasi!$M$24-Konvergensi!$E$326;2);PANGKAT(Normalisasi!$N$24-Konvergensi!$F$326;2);PANGKAT(Normalisasi!$O$24-Konvergensi!$G$326;2);PANGKAT(Normalisasi!$P$24-Konvergensi!$H$326;2)))</f>
        <v/>
      </c>
      <c r="F358">
        <f>JIKA(C358&lt;=D358;=JIKA(C358&lt;=E358;0;2);=JIKA(D358&lt;=E358;1;2))</f>
        <v/>
      </c>
      <c r="G358">
        <f>JUMLAH(JIKA(F358=0;JUMLAH(PANGKAT(Normalisasi!$J$24-Konvergensi!$B$389;2);PANGKAT(Normalisasi!$K$24-Konvergensi!$C$389;2);PANGKAT(Normalisasi!$L$24-Konvergensi!$D$389;2);PANGKAT(Normalisasi!$M$24-Konvergensi!$E$389;2);PANGKAT(Normalisasi!$N$24-Konvergensi!$F$389;2);PANGKAT(Normalisasi!$O$24-Konvergensi!$G$389;2);PANGKAT(Normalisasi!$P$24-Konvergensi!$H$389;2));0);JIKA(F358=1;JUMLAH(PANGKAT(Normalisasi!$J$24-Konvergensi!$B$390;2);PANGKAT(Normalisasi!$K$24-Konvergensi!$C$390;2);PANGKAT(Normalisasi!$L$24-Konvergensi!$D$390;2);PANGKAT(Normalisasi!$M$24-Konvergensi!$E$390;2);PANGKAT(Normalisasi!$N$24-Konvergensi!$F$390;2);PANGKAT(Normalisasi!$O$24-Konvergensi!$G$390;2);PANGKAT(Normalisasi!$P$24-Konvergensi!$H$390;2));0);JIKA(F358=2;JUMLAH(PANGKAT(Normalisasi!$J$24-Konvergensi!$B$391;2);PANGKAT(Normalisasi!$K$24-Konvergensi!$C$391;2);PANGKAT(Normalisasi!$L$24-Konvergensi!$D$391;2);PANGKAT(Normalisasi!$M$24-Konvergensi!$E$391;2);PANGKAT(Normalisasi!$N$24-Konvergensi!$F$391;2);PANGKAT(Normalisasi!$O$24-Konvergensi!$G$391;2);PANGKAT(Normalisasi!$P$24-Konvergensi!$H$391;2));0))</f>
        <v/>
      </c>
      <c r="H358" t="n">
        <v>2</v>
      </c>
      <c r="I358" t="n">
        <v>2.976964718646193</v>
      </c>
    </row>
    <row r="359">
      <c r="A359">
        <f>Data_Awal!A25</f>
        <v/>
      </c>
      <c r="B359">
        <f>Data_Awal!B25</f>
        <v/>
      </c>
      <c r="C359">
        <f>AKAR(JUMLAH(PANGKAT(Normalisasi!$J$25-Konvergensi!$B$324;2);PANGKAT(Normalisasi!$K$25-Konvergensi!$C$324;2);PANGKAT(Normalisasi!$L$25-Konvergensi!$D$324;2);PANGKAT(Normalisasi!$M$25-Konvergensi!$E$324;2);PANGKAT(Normalisasi!$N$25-Konvergensi!$F$324;2);PANGKAT(Normalisasi!$O$25-Konvergensi!$G$324;2);PANGKAT(Normalisasi!$P$25-Konvergensi!$H$324;2)))</f>
        <v/>
      </c>
      <c r="D359">
        <f>AKAR(JUMLAH(PANGKAT(Normalisasi!$J$25-Konvergensi!$B$325;2);PANGKAT(Normalisasi!$K$25-Konvergensi!$C$325;2);PANGKAT(Normalisasi!$L$25-Konvergensi!$D$325;2);PANGKAT(Normalisasi!$M$25-Konvergensi!$E$325;2);PANGKAT(Normalisasi!$N$25-Konvergensi!$F$325;2);PANGKAT(Normalisasi!$O$25-Konvergensi!$G$325;2);PANGKAT(Normalisasi!$P$25-Konvergensi!$H$325;2)))</f>
        <v/>
      </c>
      <c r="E359">
        <f>AKAR(JUMLAH(PANGKAT(Normalisasi!$J$25-Konvergensi!$B$326;2);PANGKAT(Normalisasi!$K$25-Konvergensi!$C$326;2);PANGKAT(Normalisasi!$L$25-Konvergensi!$D$326;2);PANGKAT(Normalisasi!$M$25-Konvergensi!$E$326;2);PANGKAT(Normalisasi!$N$25-Konvergensi!$F$326;2);PANGKAT(Normalisasi!$O$25-Konvergensi!$G$326;2);PANGKAT(Normalisasi!$P$25-Konvergensi!$H$326;2)))</f>
        <v/>
      </c>
      <c r="F359">
        <f>JIKA(C359&lt;=D359;=JIKA(C359&lt;=E359;0;2);=JIKA(D359&lt;=E359;1;2))</f>
        <v/>
      </c>
      <c r="G359">
        <f>JUMLAH(JIKA(F359=0;JUMLAH(PANGKAT(Normalisasi!$J$25-Konvergensi!$B$389;2);PANGKAT(Normalisasi!$K$25-Konvergensi!$C$389;2);PANGKAT(Normalisasi!$L$25-Konvergensi!$D$389;2);PANGKAT(Normalisasi!$M$25-Konvergensi!$E$389;2);PANGKAT(Normalisasi!$N$25-Konvergensi!$F$389;2);PANGKAT(Normalisasi!$O$25-Konvergensi!$G$389;2);PANGKAT(Normalisasi!$P$25-Konvergensi!$H$389;2));0);JIKA(F359=1;JUMLAH(PANGKAT(Normalisasi!$J$25-Konvergensi!$B$390;2);PANGKAT(Normalisasi!$K$25-Konvergensi!$C$390;2);PANGKAT(Normalisasi!$L$25-Konvergensi!$D$390;2);PANGKAT(Normalisasi!$M$25-Konvergensi!$E$390;2);PANGKAT(Normalisasi!$N$25-Konvergensi!$F$390;2);PANGKAT(Normalisasi!$O$25-Konvergensi!$G$390;2);PANGKAT(Normalisasi!$P$25-Konvergensi!$H$390;2));0);JIKA(F359=2;JUMLAH(PANGKAT(Normalisasi!$J$25-Konvergensi!$B$391;2);PANGKAT(Normalisasi!$K$25-Konvergensi!$C$391;2);PANGKAT(Normalisasi!$L$25-Konvergensi!$D$391;2);PANGKAT(Normalisasi!$M$25-Konvergensi!$E$391;2);PANGKAT(Normalisasi!$N$25-Konvergensi!$F$391;2);PANGKAT(Normalisasi!$O$25-Konvergensi!$G$391;2);PANGKAT(Normalisasi!$P$25-Konvergensi!$H$391;2));0))</f>
        <v/>
      </c>
      <c r="H359" t="n">
        <v>1</v>
      </c>
      <c r="I359" t="n">
        <v>3.968300998423876</v>
      </c>
    </row>
    <row r="360">
      <c r="A360">
        <f>Data_Awal!A26</f>
        <v/>
      </c>
      <c r="B360">
        <f>Data_Awal!B26</f>
        <v/>
      </c>
      <c r="C360">
        <f>AKAR(JUMLAH(PANGKAT(Normalisasi!$J$26-Konvergensi!$B$324;2);PANGKAT(Normalisasi!$K$26-Konvergensi!$C$324;2);PANGKAT(Normalisasi!$L$26-Konvergensi!$D$324;2);PANGKAT(Normalisasi!$M$26-Konvergensi!$E$324;2);PANGKAT(Normalisasi!$N$26-Konvergensi!$F$324;2);PANGKAT(Normalisasi!$O$26-Konvergensi!$G$324;2);PANGKAT(Normalisasi!$P$26-Konvergensi!$H$324;2)))</f>
        <v/>
      </c>
      <c r="D360">
        <f>AKAR(JUMLAH(PANGKAT(Normalisasi!$J$26-Konvergensi!$B$325;2);PANGKAT(Normalisasi!$K$26-Konvergensi!$C$325;2);PANGKAT(Normalisasi!$L$26-Konvergensi!$D$325;2);PANGKAT(Normalisasi!$M$26-Konvergensi!$E$325;2);PANGKAT(Normalisasi!$N$26-Konvergensi!$F$325;2);PANGKAT(Normalisasi!$O$26-Konvergensi!$G$325;2);PANGKAT(Normalisasi!$P$26-Konvergensi!$H$325;2)))</f>
        <v/>
      </c>
      <c r="E360">
        <f>AKAR(JUMLAH(PANGKAT(Normalisasi!$J$26-Konvergensi!$B$326;2);PANGKAT(Normalisasi!$K$26-Konvergensi!$C$326;2);PANGKAT(Normalisasi!$L$26-Konvergensi!$D$326;2);PANGKAT(Normalisasi!$M$26-Konvergensi!$E$326;2);PANGKAT(Normalisasi!$N$26-Konvergensi!$F$326;2);PANGKAT(Normalisasi!$O$26-Konvergensi!$G$326;2);PANGKAT(Normalisasi!$P$26-Konvergensi!$H$326;2)))</f>
        <v/>
      </c>
      <c r="F360">
        <f>JIKA(C360&lt;=D360;=JIKA(C360&lt;=E360;0;2);=JIKA(D360&lt;=E360;1;2))</f>
        <v/>
      </c>
      <c r="G360">
        <f>JUMLAH(JIKA(F360=0;JUMLAH(PANGKAT(Normalisasi!$J$26-Konvergensi!$B$389;2);PANGKAT(Normalisasi!$K$26-Konvergensi!$C$389;2);PANGKAT(Normalisasi!$L$26-Konvergensi!$D$389;2);PANGKAT(Normalisasi!$M$26-Konvergensi!$E$389;2);PANGKAT(Normalisasi!$N$26-Konvergensi!$F$389;2);PANGKAT(Normalisasi!$O$26-Konvergensi!$G$389;2);PANGKAT(Normalisasi!$P$26-Konvergensi!$H$389;2));0);JIKA(F360=1;JUMLAH(PANGKAT(Normalisasi!$J$26-Konvergensi!$B$390;2);PANGKAT(Normalisasi!$K$26-Konvergensi!$C$390;2);PANGKAT(Normalisasi!$L$26-Konvergensi!$D$390;2);PANGKAT(Normalisasi!$M$26-Konvergensi!$E$390;2);PANGKAT(Normalisasi!$N$26-Konvergensi!$F$390;2);PANGKAT(Normalisasi!$O$26-Konvergensi!$G$390;2);PANGKAT(Normalisasi!$P$26-Konvergensi!$H$390;2));0);JIKA(F360=2;JUMLAH(PANGKAT(Normalisasi!$J$26-Konvergensi!$B$391;2);PANGKAT(Normalisasi!$K$26-Konvergensi!$C$391;2);PANGKAT(Normalisasi!$L$26-Konvergensi!$D$391;2);PANGKAT(Normalisasi!$M$26-Konvergensi!$E$391;2);PANGKAT(Normalisasi!$N$26-Konvergensi!$F$391;2);PANGKAT(Normalisasi!$O$26-Konvergensi!$G$391;2);PANGKAT(Normalisasi!$P$26-Konvergensi!$H$391;2));0))</f>
        <v/>
      </c>
      <c r="H360" t="n">
        <v>2</v>
      </c>
      <c r="I360" t="n">
        <v>6.008509677053639</v>
      </c>
    </row>
    <row r="361">
      <c r="A361">
        <f>Data_Awal!A27</f>
        <v/>
      </c>
      <c r="B361">
        <f>Data_Awal!B27</f>
        <v/>
      </c>
      <c r="C361">
        <f>AKAR(JUMLAH(PANGKAT(Normalisasi!$J$27-Konvergensi!$B$324;2);PANGKAT(Normalisasi!$K$27-Konvergensi!$C$324;2);PANGKAT(Normalisasi!$L$27-Konvergensi!$D$324;2);PANGKAT(Normalisasi!$M$27-Konvergensi!$E$324;2);PANGKAT(Normalisasi!$N$27-Konvergensi!$F$324;2);PANGKAT(Normalisasi!$O$27-Konvergensi!$G$324;2);PANGKAT(Normalisasi!$P$27-Konvergensi!$H$324;2)))</f>
        <v/>
      </c>
      <c r="D361">
        <f>AKAR(JUMLAH(PANGKAT(Normalisasi!$J$27-Konvergensi!$B$325;2);PANGKAT(Normalisasi!$K$27-Konvergensi!$C$325;2);PANGKAT(Normalisasi!$L$27-Konvergensi!$D$325;2);PANGKAT(Normalisasi!$M$27-Konvergensi!$E$325;2);PANGKAT(Normalisasi!$N$27-Konvergensi!$F$325;2);PANGKAT(Normalisasi!$O$27-Konvergensi!$G$325;2);PANGKAT(Normalisasi!$P$27-Konvergensi!$H$325;2)))</f>
        <v/>
      </c>
      <c r="E361">
        <f>AKAR(JUMLAH(PANGKAT(Normalisasi!$J$27-Konvergensi!$B$326;2);PANGKAT(Normalisasi!$K$27-Konvergensi!$C$326;2);PANGKAT(Normalisasi!$L$27-Konvergensi!$D$326;2);PANGKAT(Normalisasi!$M$27-Konvergensi!$E$326;2);PANGKAT(Normalisasi!$N$27-Konvergensi!$F$326;2);PANGKAT(Normalisasi!$O$27-Konvergensi!$G$326;2);PANGKAT(Normalisasi!$P$27-Konvergensi!$H$326;2)))</f>
        <v/>
      </c>
      <c r="F361">
        <f>JIKA(C361&lt;=D361;=JIKA(C361&lt;=E361;0;2);=JIKA(D361&lt;=E361;1;2))</f>
        <v/>
      </c>
      <c r="G361">
        <f>JUMLAH(JIKA(F361=0;JUMLAH(PANGKAT(Normalisasi!$J$27-Konvergensi!$B$389;2);PANGKAT(Normalisasi!$K$27-Konvergensi!$C$389;2);PANGKAT(Normalisasi!$L$27-Konvergensi!$D$389;2);PANGKAT(Normalisasi!$M$27-Konvergensi!$E$389;2);PANGKAT(Normalisasi!$N$27-Konvergensi!$F$389;2);PANGKAT(Normalisasi!$O$27-Konvergensi!$G$389;2);PANGKAT(Normalisasi!$P$27-Konvergensi!$H$389;2));0);JIKA(F361=1;JUMLAH(PANGKAT(Normalisasi!$J$27-Konvergensi!$B$390;2);PANGKAT(Normalisasi!$K$27-Konvergensi!$C$390;2);PANGKAT(Normalisasi!$L$27-Konvergensi!$D$390;2);PANGKAT(Normalisasi!$M$27-Konvergensi!$E$390;2);PANGKAT(Normalisasi!$N$27-Konvergensi!$F$390;2);PANGKAT(Normalisasi!$O$27-Konvergensi!$G$390;2);PANGKAT(Normalisasi!$P$27-Konvergensi!$H$390;2));0);JIKA(F361=2;JUMLAH(PANGKAT(Normalisasi!$J$27-Konvergensi!$B$391;2);PANGKAT(Normalisasi!$K$27-Konvergensi!$C$391;2);PANGKAT(Normalisasi!$L$27-Konvergensi!$D$391;2);PANGKAT(Normalisasi!$M$27-Konvergensi!$E$391;2);PANGKAT(Normalisasi!$N$27-Konvergensi!$F$391;2);PANGKAT(Normalisasi!$O$27-Konvergensi!$G$391;2);PANGKAT(Normalisasi!$P$27-Konvergensi!$H$391;2));0))</f>
        <v/>
      </c>
      <c r="H361" t="n">
        <v>0</v>
      </c>
      <c r="I361" t="n">
        <v>1.711316506539811</v>
      </c>
    </row>
    <row r="362">
      <c r="A362">
        <f>Data_Awal!A28</f>
        <v/>
      </c>
      <c r="B362">
        <f>Data_Awal!B28</f>
        <v/>
      </c>
      <c r="C362">
        <f>AKAR(JUMLAH(PANGKAT(Normalisasi!$J$28-Konvergensi!$B$324;2);PANGKAT(Normalisasi!$K$28-Konvergensi!$C$324;2);PANGKAT(Normalisasi!$L$28-Konvergensi!$D$324;2);PANGKAT(Normalisasi!$M$28-Konvergensi!$E$324;2);PANGKAT(Normalisasi!$N$28-Konvergensi!$F$324;2);PANGKAT(Normalisasi!$O$28-Konvergensi!$G$324;2);PANGKAT(Normalisasi!$P$28-Konvergensi!$H$324;2)))</f>
        <v/>
      </c>
      <c r="D362">
        <f>AKAR(JUMLAH(PANGKAT(Normalisasi!$J$28-Konvergensi!$B$325;2);PANGKAT(Normalisasi!$K$28-Konvergensi!$C$325;2);PANGKAT(Normalisasi!$L$28-Konvergensi!$D$325;2);PANGKAT(Normalisasi!$M$28-Konvergensi!$E$325;2);PANGKAT(Normalisasi!$N$28-Konvergensi!$F$325;2);PANGKAT(Normalisasi!$O$28-Konvergensi!$G$325;2);PANGKAT(Normalisasi!$P$28-Konvergensi!$H$325;2)))</f>
        <v/>
      </c>
      <c r="E362">
        <f>AKAR(JUMLAH(PANGKAT(Normalisasi!$J$28-Konvergensi!$B$326;2);PANGKAT(Normalisasi!$K$28-Konvergensi!$C$326;2);PANGKAT(Normalisasi!$L$28-Konvergensi!$D$326;2);PANGKAT(Normalisasi!$M$28-Konvergensi!$E$326;2);PANGKAT(Normalisasi!$N$28-Konvergensi!$F$326;2);PANGKAT(Normalisasi!$O$28-Konvergensi!$G$326;2);PANGKAT(Normalisasi!$P$28-Konvergensi!$H$326;2)))</f>
        <v/>
      </c>
      <c r="F362">
        <f>JIKA(C362&lt;=D362;=JIKA(C362&lt;=E362;0;2);=JIKA(D362&lt;=E362;1;2))</f>
        <v/>
      </c>
      <c r="G362">
        <f>JUMLAH(JIKA(F362=0;JUMLAH(PANGKAT(Normalisasi!$J$28-Konvergensi!$B$389;2);PANGKAT(Normalisasi!$K$28-Konvergensi!$C$389;2);PANGKAT(Normalisasi!$L$28-Konvergensi!$D$389;2);PANGKAT(Normalisasi!$M$28-Konvergensi!$E$389;2);PANGKAT(Normalisasi!$N$28-Konvergensi!$F$389;2);PANGKAT(Normalisasi!$O$28-Konvergensi!$G$389;2);PANGKAT(Normalisasi!$P$28-Konvergensi!$H$389;2));0);JIKA(F362=1;JUMLAH(PANGKAT(Normalisasi!$J$28-Konvergensi!$B$390;2);PANGKAT(Normalisasi!$K$28-Konvergensi!$C$390;2);PANGKAT(Normalisasi!$L$28-Konvergensi!$D$390;2);PANGKAT(Normalisasi!$M$28-Konvergensi!$E$390;2);PANGKAT(Normalisasi!$N$28-Konvergensi!$F$390;2);PANGKAT(Normalisasi!$O$28-Konvergensi!$G$390;2);PANGKAT(Normalisasi!$P$28-Konvergensi!$H$390;2));0);JIKA(F362=2;JUMLAH(PANGKAT(Normalisasi!$J$28-Konvergensi!$B$391;2);PANGKAT(Normalisasi!$K$28-Konvergensi!$C$391;2);PANGKAT(Normalisasi!$L$28-Konvergensi!$D$391;2);PANGKAT(Normalisasi!$M$28-Konvergensi!$E$391;2);PANGKAT(Normalisasi!$N$28-Konvergensi!$F$391;2);PANGKAT(Normalisasi!$O$28-Konvergensi!$G$391;2);PANGKAT(Normalisasi!$P$28-Konvergensi!$H$391;2));0))</f>
        <v/>
      </c>
      <c r="H362" t="n">
        <v>1</v>
      </c>
      <c r="I362" t="n">
        <v>10.51074437071328</v>
      </c>
    </row>
    <row r="363">
      <c r="A363">
        <f>Data_Awal!A29</f>
        <v/>
      </c>
      <c r="B363">
        <f>Data_Awal!B29</f>
        <v/>
      </c>
      <c r="C363">
        <f>AKAR(JUMLAH(PANGKAT(Normalisasi!$J$29-Konvergensi!$B$324;2);PANGKAT(Normalisasi!$K$29-Konvergensi!$C$324;2);PANGKAT(Normalisasi!$L$29-Konvergensi!$D$324;2);PANGKAT(Normalisasi!$M$29-Konvergensi!$E$324;2);PANGKAT(Normalisasi!$N$29-Konvergensi!$F$324;2);PANGKAT(Normalisasi!$O$29-Konvergensi!$G$324;2);PANGKAT(Normalisasi!$P$29-Konvergensi!$H$324;2)))</f>
        <v/>
      </c>
      <c r="D363">
        <f>AKAR(JUMLAH(PANGKAT(Normalisasi!$J$29-Konvergensi!$B$325;2);PANGKAT(Normalisasi!$K$29-Konvergensi!$C$325;2);PANGKAT(Normalisasi!$L$29-Konvergensi!$D$325;2);PANGKAT(Normalisasi!$M$29-Konvergensi!$E$325;2);PANGKAT(Normalisasi!$N$29-Konvergensi!$F$325;2);PANGKAT(Normalisasi!$O$29-Konvergensi!$G$325;2);PANGKAT(Normalisasi!$P$29-Konvergensi!$H$325;2)))</f>
        <v/>
      </c>
      <c r="E363">
        <f>AKAR(JUMLAH(PANGKAT(Normalisasi!$J$29-Konvergensi!$B$326;2);PANGKAT(Normalisasi!$K$29-Konvergensi!$C$326;2);PANGKAT(Normalisasi!$L$29-Konvergensi!$D$326;2);PANGKAT(Normalisasi!$M$29-Konvergensi!$E$326;2);PANGKAT(Normalisasi!$N$29-Konvergensi!$F$326;2);PANGKAT(Normalisasi!$O$29-Konvergensi!$G$326;2);PANGKAT(Normalisasi!$P$29-Konvergensi!$H$326;2)))</f>
        <v/>
      </c>
      <c r="F363">
        <f>JIKA(C363&lt;=D363;=JIKA(C363&lt;=E363;0;2);=JIKA(D363&lt;=E363;1;2))</f>
        <v/>
      </c>
      <c r="G363">
        <f>JUMLAH(JIKA(F363=0;JUMLAH(PANGKAT(Normalisasi!$J$29-Konvergensi!$B$389;2);PANGKAT(Normalisasi!$K$29-Konvergensi!$C$389;2);PANGKAT(Normalisasi!$L$29-Konvergensi!$D$389;2);PANGKAT(Normalisasi!$M$29-Konvergensi!$E$389;2);PANGKAT(Normalisasi!$N$29-Konvergensi!$F$389;2);PANGKAT(Normalisasi!$O$29-Konvergensi!$G$389;2);PANGKAT(Normalisasi!$P$29-Konvergensi!$H$389;2));0);JIKA(F363=1;JUMLAH(PANGKAT(Normalisasi!$J$29-Konvergensi!$B$390;2);PANGKAT(Normalisasi!$K$29-Konvergensi!$C$390;2);PANGKAT(Normalisasi!$L$29-Konvergensi!$D$390;2);PANGKAT(Normalisasi!$M$29-Konvergensi!$E$390;2);PANGKAT(Normalisasi!$N$29-Konvergensi!$F$390;2);PANGKAT(Normalisasi!$O$29-Konvergensi!$G$390;2);PANGKAT(Normalisasi!$P$29-Konvergensi!$H$390;2));0);JIKA(F363=2;JUMLAH(PANGKAT(Normalisasi!$J$29-Konvergensi!$B$391;2);PANGKAT(Normalisasi!$K$29-Konvergensi!$C$391;2);PANGKAT(Normalisasi!$L$29-Konvergensi!$D$391;2);PANGKAT(Normalisasi!$M$29-Konvergensi!$E$391;2);PANGKAT(Normalisasi!$N$29-Konvergensi!$F$391;2);PANGKAT(Normalisasi!$O$29-Konvergensi!$G$391;2);PANGKAT(Normalisasi!$P$29-Konvergensi!$H$391;2));0))</f>
        <v/>
      </c>
      <c r="H363" t="n">
        <v>0</v>
      </c>
      <c r="I363" t="n">
        <v>6.662864523688339</v>
      </c>
    </row>
    <row r="364">
      <c r="A364">
        <f>Data_Awal!A30</f>
        <v/>
      </c>
      <c r="B364">
        <f>Data_Awal!B30</f>
        <v/>
      </c>
      <c r="C364">
        <f>AKAR(JUMLAH(PANGKAT(Normalisasi!$J$30-Konvergensi!$B$324;2);PANGKAT(Normalisasi!$K$30-Konvergensi!$C$324;2);PANGKAT(Normalisasi!$L$30-Konvergensi!$D$324;2);PANGKAT(Normalisasi!$M$30-Konvergensi!$E$324;2);PANGKAT(Normalisasi!$N$30-Konvergensi!$F$324;2);PANGKAT(Normalisasi!$O$30-Konvergensi!$G$324;2);PANGKAT(Normalisasi!$P$30-Konvergensi!$H$324;2)))</f>
        <v/>
      </c>
      <c r="D364">
        <f>AKAR(JUMLAH(PANGKAT(Normalisasi!$J$30-Konvergensi!$B$325;2);PANGKAT(Normalisasi!$K$30-Konvergensi!$C$325;2);PANGKAT(Normalisasi!$L$30-Konvergensi!$D$325;2);PANGKAT(Normalisasi!$M$30-Konvergensi!$E$325;2);PANGKAT(Normalisasi!$N$30-Konvergensi!$F$325;2);PANGKAT(Normalisasi!$O$30-Konvergensi!$G$325;2);PANGKAT(Normalisasi!$P$30-Konvergensi!$H$325;2)))</f>
        <v/>
      </c>
      <c r="E364">
        <f>AKAR(JUMLAH(PANGKAT(Normalisasi!$J$30-Konvergensi!$B$326;2);PANGKAT(Normalisasi!$K$30-Konvergensi!$C$326;2);PANGKAT(Normalisasi!$L$30-Konvergensi!$D$326;2);PANGKAT(Normalisasi!$M$30-Konvergensi!$E$326;2);PANGKAT(Normalisasi!$N$30-Konvergensi!$F$326;2);PANGKAT(Normalisasi!$O$30-Konvergensi!$G$326;2);PANGKAT(Normalisasi!$P$30-Konvergensi!$H$326;2)))</f>
        <v/>
      </c>
      <c r="F364">
        <f>JIKA(C364&lt;=D364;=JIKA(C364&lt;=E364;0;2);=JIKA(D364&lt;=E364;1;2))</f>
        <v/>
      </c>
      <c r="G364">
        <f>JUMLAH(JIKA(F364=0;JUMLAH(PANGKAT(Normalisasi!$J$30-Konvergensi!$B$389;2);PANGKAT(Normalisasi!$K$30-Konvergensi!$C$389;2);PANGKAT(Normalisasi!$L$30-Konvergensi!$D$389;2);PANGKAT(Normalisasi!$M$30-Konvergensi!$E$389;2);PANGKAT(Normalisasi!$N$30-Konvergensi!$F$389;2);PANGKAT(Normalisasi!$O$30-Konvergensi!$G$389;2);PANGKAT(Normalisasi!$P$30-Konvergensi!$H$389;2));0);JIKA(F364=1;JUMLAH(PANGKAT(Normalisasi!$J$30-Konvergensi!$B$390;2);PANGKAT(Normalisasi!$K$30-Konvergensi!$C$390;2);PANGKAT(Normalisasi!$L$30-Konvergensi!$D$390;2);PANGKAT(Normalisasi!$M$30-Konvergensi!$E$390;2);PANGKAT(Normalisasi!$N$30-Konvergensi!$F$390;2);PANGKAT(Normalisasi!$O$30-Konvergensi!$G$390;2);PANGKAT(Normalisasi!$P$30-Konvergensi!$H$390;2));0);JIKA(F364=2;JUMLAH(PANGKAT(Normalisasi!$J$30-Konvergensi!$B$391;2);PANGKAT(Normalisasi!$K$30-Konvergensi!$C$391;2);PANGKAT(Normalisasi!$L$30-Konvergensi!$D$391;2);PANGKAT(Normalisasi!$M$30-Konvergensi!$E$391;2);PANGKAT(Normalisasi!$N$30-Konvergensi!$F$391;2);PANGKAT(Normalisasi!$O$30-Konvergensi!$G$391;2);PANGKAT(Normalisasi!$P$30-Konvergensi!$H$391;2));0))</f>
        <v/>
      </c>
      <c r="H364" t="n">
        <v>0</v>
      </c>
      <c r="I364" t="n">
        <v>6.93982262864442</v>
      </c>
    </row>
    <row r="365">
      <c r="A365">
        <f>Data_Awal!A31</f>
        <v/>
      </c>
      <c r="B365">
        <f>Data_Awal!B31</f>
        <v/>
      </c>
      <c r="C365">
        <f>AKAR(JUMLAH(PANGKAT(Normalisasi!$J$31-Konvergensi!$B$324;2);PANGKAT(Normalisasi!$K$31-Konvergensi!$C$324;2);PANGKAT(Normalisasi!$L$31-Konvergensi!$D$324;2);PANGKAT(Normalisasi!$M$31-Konvergensi!$E$324;2);PANGKAT(Normalisasi!$N$31-Konvergensi!$F$324;2);PANGKAT(Normalisasi!$O$31-Konvergensi!$G$324;2);PANGKAT(Normalisasi!$P$31-Konvergensi!$H$324;2)))</f>
        <v/>
      </c>
      <c r="D365">
        <f>AKAR(JUMLAH(PANGKAT(Normalisasi!$J$31-Konvergensi!$B$325;2);PANGKAT(Normalisasi!$K$31-Konvergensi!$C$325;2);PANGKAT(Normalisasi!$L$31-Konvergensi!$D$325;2);PANGKAT(Normalisasi!$M$31-Konvergensi!$E$325;2);PANGKAT(Normalisasi!$N$31-Konvergensi!$F$325;2);PANGKAT(Normalisasi!$O$31-Konvergensi!$G$325;2);PANGKAT(Normalisasi!$P$31-Konvergensi!$H$325;2)))</f>
        <v/>
      </c>
      <c r="E365">
        <f>AKAR(JUMLAH(PANGKAT(Normalisasi!$J$31-Konvergensi!$B$326;2);PANGKAT(Normalisasi!$K$31-Konvergensi!$C$326;2);PANGKAT(Normalisasi!$L$31-Konvergensi!$D$326;2);PANGKAT(Normalisasi!$M$31-Konvergensi!$E$326;2);PANGKAT(Normalisasi!$N$31-Konvergensi!$F$326;2);PANGKAT(Normalisasi!$O$31-Konvergensi!$G$326;2);PANGKAT(Normalisasi!$P$31-Konvergensi!$H$326;2)))</f>
        <v/>
      </c>
      <c r="F365">
        <f>JIKA(C365&lt;=D365;=JIKA(C365&lt;=E365;0;2);=JIKA(D365&lt;=E365;1;2))</f>
        <v/>
      </c>
      <c r="G365">
        <f>JUMLAH(JIKA(F365=0;JUMLAH(PANGKAT(Normalisasi!$J$31-Konvergensi!$B$389;2);PANGKAT(Normalisasi!$K$31-Konvergensi!$C$389;2);PANGKAT(Normalisasi!$L$31-Konvergensi!$D$389;2);PANGKAT(Normalisasi!$M$31-Konvergensi!$E$389;2);PANGKAT(Normalisasi!$N$31-Konvergensi!$F$389;2);PANGKAT(Normalisasi!$O$31-Konvergensi!$G$389;2);PANGKAT(Normalisasi!$P$31-Konvergensi!$H$389;2));0);JIKA(F365=1;JUMLAH(PANGKAT(Normalisasi!$J$31-Konvergensi!$B$390;2);PANGKAT(Normalisasi!$K$31-Konvergensi!$C$390;2);PANGKAT(Normalisasi!$L$31-Konvergensi!$D$390;2);PANGKAT(Normalisasi!$M$31-Konvergensi!$E$390;2);PANGKAT(Normalisasi!$N$31-Konvergensi!$F$390;2);PANGKAT(Normalisasi!$O$31-Konvergensi!$G$390;2);PANGKAT(Normalisasi!$P$31-Konvergensi!$H$390;2));0);JIKA(F365=2;JUMLAH(PANGKAT(Normalisasi!$J$31-Konvergensi!$B$391;2);PANGKAT(Normalisasi!$K$31-Konvergensi!$C$391;2);PANGKAT(Normalisasi!$L$31-Konvergensi!$D$391;2);PANGKAT(Normalisasi!$M$31-Konvergensi!$E$391;2);PANGKAT(Normalisasi!$N$31-Konvergensi!$F$391;2);PANGKAT(Normalisasi!$O$31-Konvergensi!$G$391;2);PANGKAT(Normalisasi!$P$31-Konvergensi!$H$391;2));0))</f>
        <v/>
      </c>
      <c r="H365" t="n">
        <v>0</v>
      </c>
      <c r="I365" t="n">
        <v>6.677778597852328</v>
      </c>
    </row>
    <row r="366">
      <c r="A366">
        <f>Data_Awal!A32</f>
        <v/>
      </c>
      <c r="B366">
        <f>Data_Awal!B32</f>
        <v/>
      </c>
      <c r="C366">
        <f>AKAR(JUMLAH(PANGKAT(Normalisasi!$J$32-Konvergensi!$B$324;2);PANGKAT(Normalisasi!$K$32-Konvergensi!$C$324;2);PANGKAT(Normalisasi!$L$32-Konvergensi!$D$324;2);PANGKAT(Normalisasi!$M$32-Konvergensi!$E$324;2);PANGKAT(Normalisasi!$N$32-Konvergensi!$F$324;2);PANGKAT(Normalisasi!$O$32-Konvergensi!$G$324;2);PANGKAT(Normalisasi!$P$32-Konvergensi!$H$324;2)))</f>
        <v/>
      </c>
      <c r="D366">
        <f>AKAR(JUMLAH(PANGKAT(Normalisasi!$J$32-Konvergensi!$B$325;2);PANGKAT(Normalisasi!$K$32-Konvergensi!$C$325;2);PANGKAT(Normalisasi!$L$32-Konvergensi!$D$325;2);PANGKAT(Normalisasi!$M$32-Konvergensi!$E$325;2);PANGKAT(Normalisasi!$N$32-Konvergensi!$F$325;2);PANGKAT(Normalisasi!$O$32-Konvergensi!$G$325;2);PANGKAT(Normalisasi!$P$32-Konvergensi!$H$325;2)))</f>
        <v/>
      </c>
      <c r="E366">
        <f>AKAR(JUMLAH(PANGKAT(Normalisasi!$J$32-Konvergensi!$B$326;2);PANGKAT(Normalisasi!$K$32-Konvergensi!$C$326;2);PANGKAT(Normalisasi!$L$32-Konvergensi!$D$326;2);PANGKAT(Normalisasi!$M$32-Konvergensi!$E$326;2);PANGKAT(Normalisasi!$N$32-Konvergensi!$F$326;2);PANGKAT(Normalisasi!$O$32-Konvergensi!$G$326;2);PANGKAT(Normalisasi!$P$32-Konvergensi!$H$326;2)))</f>
        <v/>
      </c>
      <c r="F366">
        <f>JIKA(C366&lt;=D366;=JIKA(C366&lt;=E366;0;2);=JIKA(D366&lt;=E366;1;2))</f>
        <v/>
      </c>
      <c r="G366">
        <f>JUMLAH(JIKA(F366=0;JUMLAH(PANGKAT(Normalisasi!$J$32-Konvergensi!$B$389;2);PANGKAT(Normalisasi!$K$32-Konvergensi!$C$389;2);PANGKAT(Normalisasi!$L$32-Konvergensi!$D$389;2);PANGKAT(Normalisasi!$M$32-Konvergensi!$E$389;2);PANGKAT(Normalisasi!$N$32-Konvergensi!$F$389;2);PANGKAT(Normalisasi!$O$32-Konvergensi!$G$389;2);PANGKAT(Normalisasi!$P$32-Konvergensi!$H$389;2));0);JIKA(F366=1;JUMLAH(PANGKAT(Normalisasi!$J$32-Konvergensi!$B$390;2);PANGKAT(Normalisasi!$K$32-Konvergensi!$C$390;2);PANGKAT(Normalisasi!$L$32-Konvergensi!$D$390;2);PANGKAT(Normalisasi!$M$32-Konvergensi!$E$390;2);PANGKAT(Normalisasi!$N$32-Konvergensi!$F$390;2);PANGKAT(Normalisasi!$O$32-Konvergensi!$G$390;2);PANGKAT(Normalisasi!$P$32-Konvergensi!$H$390;2));0);JIKA(F366=2;JUMLAH(PANGKAT(Normalisasi!$J$32-Konvergensi!$B$391;2);PANGKAT(Normalisasi!$K$32-Konvergensi!$C$391;2);PANGKAT(Normalisasi!$L$32-Konvergensi!$D$391;2);PANGKAT(Normalisasi!$M$32-Konvergensi!$E$391;2);PANGKAT(Normalisasi!$N$32-Konvergensi!$F$391;2);PANGKAT(Normalisasi!$O$32-Konvergensi!$G$391;2);PANGKAT(Normalisasi!$P$32-Konvergensi!$H$391;2));0))</f>
        <v/>
      </c>
      <c r="H366" t="n">
        <v>0</v>
      </c>
      <c r="I366" t="n">
        <v>4.807439283185394</v>
      </c>
    </row>
    <row r="367">
      <c r="A367">
        <f>Data_Awal!A33</f>
        <v/>
      </c>
      <c r="B367">
        <f>Data_Awal!B33</f>
        <v/>
      </c>
      <c r="C367">
        <f>AKAR(JUMLAH(PANGKAT(Normalisasi!$J$33-Konvergensi!$B$324;2);PANGKAT(Normalisasi!$K$33-Konvergensi!$C$324;2);PANGKAT(Normalisasi!$L$33-Konvergensi!$D$324;2);PANGKAT(Normalisasi!$M$33-Konvergensi!$E$324;2);PANGKAT(Normalisasi!$N$33-Konvergensi!$F$324;2);PANGKAT(Normalisasi!$O$33-Konvergensi!$G$324;2);PANGKAT(Normalisasi!$P$33-Konvergensi!$H$324;2)))</f>
        <v/>
      </c>
      <c r="D367">
        <f>AKAR(JUMLAH(PANGKAT(Normalisasi!$J$33-Konvergensi!$B$325;2);PANGKAT(Normalisasi!$K$33-Konvergensi!$C$325;2);PANGKAT(Normalisasi!$L$33-Konvergensi!$D$325;2);PANGKAT(Normalisasi!$M$33-Konvergensi!$E$325;2);PANGKAT(Normalisasi!$N$33-Konvergensi!$F$325;2);PANGKAT(Normalisasi!$O$33-Konvergensi!$G$325;2);PANGKAT(Normalisasi!$P$33-Konvergensi!$H$325;2)))</f>
        <v/>
      </c>
      <c r="E367">
        <f>AKAR(JUMLAH(PANGKAT(Normalisasi!$J$33-Konvergensi!$B$326;2);PANGKAT(Normalisasi!$K$33-Konvergensi!$C$326;2);PANGKAT(Normalisasi!$L$33-Konvergensi!$D$326;2);PANGKAT(Normalisasi!$M$33-Konvergensi!$E$326;2);PANGKAT(Normalisasi!$N$33-Konvergensi!$F$326;2);PANGKAT(Normalisasi!$O$33-Konvergensi!$G$326;2);PANGKAT(Normalisasi!$P$33-Konvergensi!$H$326;2)))</f>
        <v/>
      </c>
      <c r="F367">
        <f>JIKA(C367&lt;=D367;=JIKA(C367&lt;=E367;0;2);=JIKA(D367&lt;=E367;1;2))</f>
        <v/>
      </c>
      <c r="G367">
        <f>JUMLAH(JIKA(F367=0;JUMLAH(PANGKAT(Normalisasi!$J$33-Konvergensi!$B$389;2);PANGKAT(Normalisasi!$K$33-Konvergensi!$C$389;2);PANGKAT(Normalisasi!$L$33-Konvergensi!$D$389;2);PANGKAT(Normalisasi!$M$33-Konvergensi!$E$389;2);PANGKAT(Normalisasi!$N$33-Konvergensi!$F$389;2);PANGKAT(Normalisasi!$O$33-Konvergensi!$G$389;2);PANGKAT(Normalisasi!$P$33-Konvergensi!$H$389;2));0);JIKA(F367=1;JUMLAH(PANGKAT(Normalisasi!$J$33-Konvergensi!$B$390;2);PANGKAT(Normalisasi!$K$33-Konvergensi!$C$390;2);PANGKAT(Normalisasi!$L$33-Konvergensi!$D$390;2);PANGKAT(Normalisasi!$M$33-Konvergensi!$E$390;2);PANGKAT(Normalisasi!$N$33-Konvergensi!$F$390;2);PANGKAT(Normalisasi!$O$33-Konvergensi!$G$390;2);PANGKAT(Normalisasi!$P$33-Konvergensi!$H$390;2));0);JIKA(F367=2;JUMLAH(PANGKAT(Normalisasi!$J$33-Konvergensi!$B$391;2);PANGKAT(Normalisasi!$K$33-Konvergensi!$C$391;2);PANGKAT(Normalisasi!$L$33-Konvergensi!$D$391;2);PANGKAT(Normalisasi!$M$33-Konvergensi!$E$391;2);PANGKAT(Normalisasi!$N$33-Konvergensi!$F$391;2);PANGKAT(Normalisasi!$O$33-Konvergensi!$G$391;2);PANGKAT(Normalisasi!$P$33-Konvergensi!$H$391;2));0))</f>
        <v/>
      </c>
      <c r="H367" t="n">
        <v>0</v>
      </c>
      <c r="I367" t="n">
        <v>7.296786745773382</v>
      </c>
    </row>
    <row r="368">
      <c r="A368">
        <f>Data_Awal!A34</f>
        <v/>
      </c>
      <c r="B368">
        <f>Data_Awal!B34</f>
        <v/>
      </c>
      <c r="C368">
        <f>AKAR(JUMLAH(PANGKAT(Normalisasi!$J$34-Konvergensi!$B$324;2);PANGKAT(Normalisasi!$K$34-Konvergensi!$C$324;2);PANGKAT(Normalisasi!$L$34-Konvergensi!$D$324;2);PANGKAT(Normalisasi!$M$34-Konvergensi!$E$324;2);PANGKAT(Normalisasi!$N$34-Konvergensi!$F$324;2);PANGKAT(Normalisasi!$O$34-Konvergensi!$G$324;2);PANGKAT(Normalisasi!$P$34-Konvergensi!$H$324;2)))</f>
        <v/>
      </c>
      <c r="D368">
        <f>AKAR(JUMLAH(PANGKAT(Normalisasi!$J$34-Konvergensi!$B$325;2);PANGKAT(Normalisasi!$K$34-Konvergensi!$C$325;2);PANGKAT(Normalisasi!$L$34-Konvergensi!$D$325;2);PANGKAT(Normalisasi!$M$34-Konvergensi!$E$325;2);PANGKAT(Normalisasi!$N$34-Konvergensi!$F$325;2);PANGKAT(Normalisasi!$O$34-Konvergensi!$G$325;2);PANGKAT(Normalisasi!$P$34-Konvergensi!$H$325;2)))</f>
        <v/>
      </c>
      <c r="E368">
        <f>AKAR(JUMLAH(PANGKAT(Normalisasi!$J$34-Konvergensi!$B$326;2);PANGKAT(Normalisasi!$K$34-Konvergensi!$C$326;2);PANGKAT(Normalisasi!$L$34-Konvergensi!$D$326;2);PANGKAT(Normalisasi!$M$34-Konvergensi!$E$326;2);PANGKAT(Normalisasi!$N$34-Konvergensi!$F$326;2);PANGKAT(Normalisasi!$O$34-Konvergensi!$G$326;2);PANGKAT(Normalisasi!$P$34-Konvergensi!$H$326;2)))</f>
        <v/>
      </c>
      <c r="F368">
        <f>JIKA(C368&lt;=D368;=JIKA(C368&lt;=E368;0;2);=JIKA(D368&lt;=E368;1;2))</f>
        <v/>
      </c>
      <c r="G368">
        <f>JUMLAH(JIKA(F368=0;JUMLAH(PANGKAT(Normalisasi!$J$34-Konvergensi!$B$389;2);PANGKAT(Normalisasi!$K$34-Konvergensi!$C$389;2);PANGKAT(Normalisasi!$L$34-Konvergensi!$D$389;2);PANGKAT(Normalisasi!$M$34-Konvergensi!$E$389;2);PANGKAT(Normalisasi!$N$34-Konvergensi!$F$389;2);PANGKAT(Normalisasi!$O$34-Konvergensi!$G$389;2);PANGKAT(Normalisasi!$P$34-Konvergensi!$H$389;2));0);JIKA(F368=1;JUMLAH(PANGKAT(Normalisasi!$J$34-Konvergensi!$B$390;2);PANGKAT(Normalisasi!$K$34-Konvergensi!$C$390;2);PANGKAT(Normalisasi!$L$34-Konvergensi!$D$390;2);PANGKAT(Normalisasi!$M$34-Konvergensi!$E$390;2);PANGKAT(Normalisasi!$N$34-Konvergensi!$F$390;2);PANGKAT(Normalisasi!$O$34-Konvergensi!$G$390;2);PANGKAT(Normalisasi!$P$34-Konvergensi!$H$390;2));0);JIKA(F368=2;JUMLAH(PANGKAT(Normalisasi!$J$34-Konvergensi!$B$391;2);PANGKAT(Normalisasi!$K$34-Konvergensi!$C$391;2);PANGKAT(Normalisasi!$L$34-Konvergensi!$D$391;2);PANGKAT(Normalisasi!$M$34-Konvergensi!$E$391;2);PANGKAT(Normalisasi!$N$34-Konvergensi!$F$391;2);PANGKAT(Normalisasi!$O$34-Konvergensi!$G$391;2);PANGKAT(Normalisasi!$P$34-Konvergensi!$H$391;2));0))</f>
        <v/>
      </c>
      <c r="H368" t="n">
        <v>1</v>
      </c>
      <c r="I368" t="n">
        <v>1.842633076140355</v>
      </c>
    </row>
    <row r="369">
      <c r="A369">
        <f>Data_Awal!A35</f>
        <v/>
      </c>
      <c r="B369">
        <f>Data_Awal!B35</f>
        <v/>
      </c>
      <c r="C369">
        <f>AKAR(JUMLAH(PANGKAT(Normalisasi!$J$35-Konvergensi!$B$324;2);PANGKAT(Normalisasi!$K$35-Konvergensi!$C$324;2);PANGKAT(Normalisasi!$L$35-Konvergensi!$D$324;2);PANGKAT(Normalisasi!$M$35-Konvergensi!$E$324;2);PANGKAT(Normalisasi!$N$35-Konvergensi!$F$324;2);PANGKAT(Normalisasi!$O$35-Konvergensi!$G$324;2);PANGKAT(Normalisasi!$P$35-Konvergensi!$H$324;2)))</f>
        <v/>
      </c>
      <c r="D369">
        <f>AKAR(JUMLAH(PANGKAT(Normalisasi!$J$35-Konvergensi!$B$325;2);PANGKAT(Normalisasi!$K$35-Konvergensi!$C$325;2);PANGKAT(Normalisasi!$L$35-Konvergensi!$D$325;2);PANGKAT(Normalisasi!$M$35-Konvergensi!$E$325;2);PANGKAT(Normalisasi!$N$35-Konvergensi!$F$325;2);PANGKAT(Normalisasi!$O$35-Konvergensi!$G$325;2);PANGKAT(Normalisasi!$P$35-Konvergensi!$H$325;2)))</f>
        <v/>
      </c>
      <c r="E369">
        <f>AKAR(JUMLAH(PANGKAT(Normalisasi!$J$35-Konvergensi!$B$326;2);PANGKAT(Normalisasi!$K$35-Konvergensi!$C$326;2);PANGKAT(Normalisasi!$L$35-Konvergensi!$D$326;2);PANGKAT(Normalisasi!$M$35-Konvergensi!$E$326;2);PANGKAT(Normalisasi!$N$35-Konvergensi!$F$326;2);PANGKAT(Normalisasi!$O$35-Konvergensi!$G$326;2);PANGKAT(Normalisasi!$P$35-Konvergensi!$H$326;2)))</f>
        <v/>
      </c>
      <c r="F369">
        <f>JIKA(C369&lt;=D369;=JIKA(C369&lt;=E369;0;2);=JIKA(D369&lt;=E369;1;2))</f>
        <v/>
      </c>
      <c r="G369">
        <f>JUMLAH(JIKA(F369=0;JUMLAH(PANGKAT(Normalisasi!$J$35-Konvergensi!$B$389;2);PANGKAT(Normalisasi!$K$35-Konvergensi!$C$389;2);PANGKAT(Normalisasi!$L$35-Konvergensi!$D$389;2);PANGKAT(Normalisasi!$M$35-Konvergensi!$E$389;2);PANGKAT(Normalisasi!$N$35-Konvergensi!$F$389;2);PANGKAT(Normalisasi!$O$35-Konvergensi!$G$389;2);PANGKAT(Normalisasi!$P$35-Konvergensi!$H$389;2));0);JIKA(F369=1;JUMLAH(PANGKAT(Normalisasi!$J$35-Konvergensi!$B$390;2);PANGKAT(Normalisasi!$K$35-Konvergensi!$C$390;2);PANGKAT(Normalisasi!$L$35-Konvergensi!$D$390;2);PANGKAT(Normalisasi!$M$35-Konvergensi!$E$390;2);PANGKAT(Normalisasi!$N$35-Konvergensi!$F$390;2);PANGKAT(Normalisasi!$O$35-Konvergensi!$G$390;2);PANGKAT(Normalisasi!$P$35-Konvergensi!$H$390;2));0);JIKA(F369=2;JUMLAH(PANGKAT(Normalisasi!$J$35-Konvergensi!$B$391;2);PANGKAT(Normalisasi!$K$35-Konvergensi!$C$391;2);PANGKAT(Normalisasi!$L$35-Konvergensi!$D$391;2);PANGKAT(Normalisasi!$M$35-Konvergensi!$E$391;2);PANGKAT(Normalisasi!$N$35-Konvergensi!$F$391;2);PANGKAT(Normalisasi!$O$35-Konvergensi!$G$391;2);PANGKAT(Normalisasi!$P$35-Konvergensi!$H$391;2));0))</f>
        <v/>
      </c>
      <c r="H369" t="n">
        <v>0</v>
      </c>
      <c r="I369" t="n">
        <v>3.917422524484587</v>
      </c>
    </row>
    <row r="370">
      <c r="A370">
        <f>Data_Awal!A36</f>
        <v/>
      </c>
      <c r="B370">
        <f>Data_Awal!B36</f>
        <v/>
      </c>
      <c r="C370">
        <f>AKAR(JUMLAH(PANGKAT(Normalisasi!$J$36-Konvergensi!$B$324;2);PANGKAT(Normalisasi!$K$36-Konvergensi!$C$324;2);PANGKAT(Normalisasi!$L$36-Konvergensi!$D$324;2);PANGKAT(Normalisasi!$M$36-Konvergensi!$E$324;2);PANGKAT(Normalisasi!$N$36-Konvergensi!$F$324;2);PANGKAT(Normalisasi!$O$36-Konvergensi!$G$324;2);PANGKAT(Normalisasi!$P$36-Konvergensi!$H$324;2)))</f>
        <v/>
      </c>
      <c r="D370">
        <f>AKAR(JUMLAH(PANGKAT(Normalisasi!$J$36-Konvergensi!$B$325;2);PANGKAT(Normalisasi!$K$36-Konvergensi!$C$325;2);PANGKAT(Normalisasi!$L$36-Konvergensi!$D$325;2);PANGKAT(Normalisasi!$M$36-Konvergensi!$E$325;2);PANGKAT(Normalisasi!$N$36-Konvergensi!$F$325;2);PANGKAT(Normalisasi!$O$36-Konvergensi!$G$325;2);PANGKAT(Normalisasi!$P$36-Konvergensi!$H$325;2)))</f>
        <v/>
      </c>
      <c r="E370">
        <f>AKAR(JUMLAH(PANGKAT(Normalisasi!$J$36-Konvergensi!$B$326;2);PANGKAT(Normalisasi!$K$36-Konvergensi!$C$326;2);PANGKAT(Normalisasi!$L$36-Konvergensi!$D$326;2);PANGKAT(Normalisasi!$M$36-Konvergensi!$E$326;2);PANGKAT(Normalisasi!$N$36-Konvergensi!$F$326;2);PANGKAT(Normalisasi!$O$36-Konvergensi!$G$326;2);PANGKAT(Normalisasi!$P$36-Konvergensi!$H$326;2)))</f>
        <v/>
      </c>
      <c r="F370">
        <f>JIKA(C370&lt;=D370;=JIKA(C370&lt;=E370;0;2);=JIKA(D370&lt;=E370;1;2))</f>
        <v/>
      </c>
      <c r="G370">
        <f>JUMLAH(JIKA(F370=0;JUMLAH(PANGKAT(Normalisasi!$J$36-Konvergensi!$B$389;2);PANGKAT(Normalisasi!$K$36-Konvergensi!$C$389;2);PANGKAT(Normalisasi!$L$36-Konvergensi!$D$389;2);PANGKAT(Normalisasi!$M$36-Konvergensi!$E$389;2);PANGKAT(Normalisasi!$N$36-Konvergensi!$F$389;2);PANGKAT(Normalisasi!$O$36-Konvergensi!$G$389;2);PANGKAT(Normalisasi!$P$36-Konvergensi!$H$389;2));0);JIKA(F370=1;JUMLAH(PANGKAT(Normalisasi!$J$36-Konvergensi!$B$390;2);PANGKAT(Normalisasi!$K$36-Konvergensi!$C$390;2);PANGKAT(Normalisasi!$L$36-Konvergensi!$D$390;2);PANGKAT(Normalisasi!$M$36-Konvergensi!$E$390;2);PANGKAT(Normalisasi!$N$36-Konvergensi!$F$390;2);PANGKAT(Normalisasi!$O$36-Konvergensi!$G$390;2);PANGKAT(Normalisasi!$P$36-Konvergensi!$H$390;2));0);JIKA(F370=2;JUMLAH(PANGKAT(Normalisasi!$J$36-Konvergensi!$B$391;2);PANGKAT(Normalisasi!$K$36-Konvergensi!$C$391;2);PANGKAT(Normalisasi!$L$36-Konvergensi!$D$391;2);PANGKAT(Normalisasi!$M$36-Konvergensi!$E$391;2);PANGKAT(Normalisasi!$N$36-Konvergensi!$F$391;2);PANGKAT(Normalisasi!$O$36-Konvergensi!$G$391;2);PANGKAT(Normalisasi!$P$36-Konvergensi!$H$391;2));0))</f>
        <v/>
      </c>
      <c r="H370" t="n">
        <v>0</v>
      </c>
      <c r="I370" t="n">
        <v>4.910625786742549</v>
      </c>
    </row>
    <row r="371">
      <c r="A371">
        <f>Data_Awal!A37</f>
        <v/>
      </c>
      <c r="B371">
        <f>Data_Awal!B37</f>
        <v/>
      </c>
      <c r="C371">
        <f>AKAR(JUMLAH(PANGKAT(Normalisasi!$J$37-Konvergensi!$B$324;2);PANGKAT(Normalisasi!$K$37-Konvergensi!$C$324;2);PANGKAT(Normalisasi!$L$37-Konvergensi!$D$324;2);PANGKAT(Normalisasi!$M$37-Konvergensi!$E$324;2);PANGKAT(Normalisasi!$N$37-Konvergensi!$F$324;2);PANGKAT(Normalisasi!$O$37-Konvergensi!$G$324;2);PANGKAT(Normalisasi!$P$37-Konvergensi!$H$324;2)))</f>
        <v/>
      </c>
      <c r="D371">
        <f>AKAR(JUMLAH(PANGKAT(Normalisasi!$J$37-Konvergensi!$B$325;2);PANGKAT(Normalisasi!$K$37-Konvergensi!$C$325;2);PANGKAT(Normalisasi!$L$37-Konvergensi!$D$325;2);PANGKAT(Normalisasi!$M$37-Konvergensi!$E$325;2);PANGKAT(Normalisasi!$N$37-Konvergensi!$F$325;2);PANGKAT(Normalisasi!$O$37-Konvergensi!$G$325;2);PANGKAT(Normalisasi!$P$37-Konvergensi!$H$325;2)))</f>
        <v/>
      </c>
      <c r="E371">
        <f>AKAR(JUMLAH(PANGKAT(Normalisasi!$J$37-Konvergensi!$B$326;2);PANGKAT(Normalisasi!$K$37-Konvergensi!$C$326;2);PANGKAT(Normalisasi!$L$37-Konvergensi!$D$326;2);PANGKAT(Normalisasi!$M$37-Konvergensi!$E$326;2);PANGKAT(Normalisasi!$N$37-Konvergensi!$F$326;2);PANGKAT(Normalisasi!$O$37-Konvergensi!$G$326;2);PANGKAT(Normalisasi!$P$37-Konvergensi!$H$326;2)))</f>
        <v/>
      </c>
      <c r="F371">
        <f>JIKA(C371&lt;=D371;=JIKA(C371&lt;=E371;0;2);=JIKA(D371&lt;=E371;1;2))</f>
        <v/>
      </c>
      <c r="G371">
        <f>JUMLAH(JIKA(F371=0;JUMLAH(PANGKAT(Normalisasi!$J$37-Konvergensi!$B$389;2);PANGKAT(Normalisasi!$K$37-Konvergensi!$C$389;2);PANGKAT(Normalisasi!$L$37-Konvergensi!$D$389;2);PANGKAT(Normalisasi!$M$37-Konvergensi!$E$389;2);PANGKAT(Normalisasi!$N$37-Konvergensi!$F$389;2);PANGKAT(Normalisasi!$O$37-Konvergensi!$G$389;2);PANGKAT(Normalisasi!$P$37-Konvergensi!$H$389;2));0);JIKA(F371=1;JUMLAH(PANGKAT(Normalisasi!$J$37-Konvergensi!$B$390;2);PANGKAT(Normalisasi!$K$37-Konvergensi!$C$390;2);PANGKAT(Normalisasi!$L$37-Konvergensi!$D$390;2);PANGKAT(Normalisasi!$M$37-Konvergensi!$E$390;2);PANGKAT(Normalisasi!$N$37-Konvergensi!$F$390;2);PANGKAT(Normalisasi!$O$37-Konvergensi!$G$390;2);PANGKAT(Normalisasi!$P$37-Konvergensi!$H$390;2));0);JIKA(F371=2;JUMLAH(PANGKAT(Normalisasi!$J$37-Konvergensi!$B$391;2);PANGKAT(Normalisasi!$K$37-Konvergensi!$C$391;2);PANGKAT(Normalisasi!$L$37-Konvergensi!$D$391;2);PANGKAT(Normalisasi!$M$37-Konvergensi!$E$391;2);PANGKAT(Normalisasi!$N$37-Konvergensi!$F$391;2);PANGKAT(Normalisasi!$O$37-Konvergensi!$G$391;2);PANGKAT(Normalisasi!$P$37-Konvergensi!$H$391;2));0))</f>
        <v/>
      </c>
      <c r="H371" t="n">
        <v>0</v>
      </c>
      <c r="I371" t="n">
        <v>5.848785350686678</v>
      </c>
    </row>
    <row r="372">
      <c r="A372">
        <f>Data_Awal!A38</f>
        <v/>
      </c>
      <c r="B372">
        <f>Data_Awal!B38</f>
        <v/>
      </c>
      <c r="C372">
        <f>AKAR(JUMLAH(PANGKAT(Normalisasi!$J$38-Konvergensi!$B$324;2);PANGKAT(Normalisasi!$K$38-Konvergensi!$C$324;2);PANGKAT(Normalisasi!$L$38-Konvergensi!$D$324;2);PANGKAT(Normalisasi!$M$38-Konvergensi!$E$324;2);PANGKAT(Normalisasi!$N$38-Konvergensi!$F$324;2);PANGKAT(Normalisasi!$O$38-Konvergensi!$G$324;2);PANGKAT(Normalisasi!$P$38-Konvergensi!$H$324;2)))</f>
        <v/>
      </c>
      <c r="D372">
        <f>AKAR(JUMLAH(PANGKAT(Normalisasi!$J$38-Konvergensi!$B$325;2);PANGKAT(Normalisasi!$K$38-Konvergensi!$C$325;2);PANGKAT(Normalisasi!$L$38-Konvergensi!$D$325;2);PANGKAT(Normalisasi!$M$38-Konvergensi!$E$325;2);PANGKAT(Normalisasi!$N$38-Konvergensi!$F$325;2);PANGKAT(Normalisasi!$O$38-Konvergensi!$G$325;2);PANGKAT(Normalisasi!$P$38-Konvergensi!$H$325;2)))</f>
        <v/>
      </c>
      <c r="E372">
        <f>AKAR(JUMLAH(PANGKAT(Normalisasi!$J$38-Konvergensi!$B$326;2);PANGKAT(Normalisasi!$K$38-Konvergensi!$C$326;2);PANGKAT(Normalisasi!$L$38-Konvergensi!$D$326;2);PANGKAT(Normalisasi!$M$38-Konvergensi!$E$326;2);PANGKAT(Normalisasi!$N$38-Konvergensi!$F$326;2);PANGKAT(Normalisasi!$O$38-Konvergensi!$G$326;2);PANGKAT(Normalisasi!$P$38-Konvergensi!$H$326;2)))</f>
        <v/>
      </c>
      <c r="F372">
        <f>JIKA(C372&lt;=D372;=JIKA(C372&lt;=E372;0;2);=JIKA(D372&lt;=E372;1;2))</f>
        <v/>
      </c>
      <c r="G372">
        <f>JUMLAH(JIKA(F372=0;JUMLAH(PANGKAT(Normalisasi!$J$38-Konvergensi!$B$389;2);PANGKAT(Normalisasi!$K$38-Konvergensi!$C$389;2);PANGKAT(Normalisasi!$L$38-Konvergensi!$D$389;2);PANGKAT(Normalisasi!$M$38-Konvergensi!$E$389;2);PANGKAT(Normalisasi!$N$38-Konvergensi!$F$389;2);PANGKAT(Normalisasi!$O$38-Konvergensi!$G$389;2);PANGKAT(Normalisasi!$P$38-Konvergensi!$H$389;2));0);JIKA(F372=1;JUMLAH(PANGKAT(Normalisasi!$J$38-Konvergensi!$B$390;2);PANGKAT(Normalisasi!$K$38-Konvergensi!$C$390;2);PANGKAT(Normalisasi!$L$38-Konvergensi!$D$390;2);PANGKAT(Normalisasi!$M$38-Konvergensi!$E$390;2);PANGKAT(Normalisasi!$N$38-Konvergensi!$F$390;2);PANGKAT(Normalisasi!$O$38-Konvergensi!$G$390;2);PANGKAT(Normalisasi!$P$38-Konvergensi!$H$390;2));0);JIKA(F372=2;JUMLAH(PANGKAT(Normalisasi!$J$38-Konvergensi!$B$391;2);PANGKAT(Normalisasi!$K$38-Konvergensi!$C$391;2);PANGKAT(Normalisasi!$L$38-Konvergensi!$D$391;2);PANGKAT(Normalisasi!$M$38-Konvergensi!$E$391;2);PANGKAT(Normalisasi!$N$38-Konvergensi!$F$391;2);PANGKAT(Normalisasi!$O$38-Konvergensi!$G$391;2);PANGKAT(Normalisasi!$P$38-Konvergensi!$H$391;2));0))</f>
        <v/>
      </c>
      <c r="H372" t="n">
        <v>1</v>
      </c>
      <c r="I372" t="n">
        <v>3.980198617838536</v>
      </c>
    </row>
    <row r="373">
      <c r="A373">
        <f>Data_Awal!A39</f>
        <v/>
      </c>
      <c r="B373">
        <f>Data_Awal!B39</f>
        <v/>
      </c>
      <c r="C373">
        <f>AKAR(JUMLAH(PANGKAT(Normalisasi!$J$39-Konvergensi!$B$324;2);PANGKAT(Normalisasi!$K$39-Konvergensi!$C$324;2);PANGKAT(Normalisasi!$L$39-Konvergensi!$D$324;2);PANGKAT(Normalisasi!$M$39-Konvergensi!$E$324;2);PANGKAT(Normalisasi!$N$39-Konvergensi!$F$324;2);PANGKAT(Normalisasi!$O$39-Konvergensi!$G$324;2);PANGKAT(Normalisasi!$P$39-Konvergensi!$H$324;2)))</f>
        <v/>
      </c>
      <c r="D373">
        <f>AKAR(JUMLAH(PANGKAT(Normalisasi!$J$39-Konvergensi!$B$325;2);PANGKAT(Normalisasi!$K$39-Konvergensi!$C$325;2);PANGKAT(Normalisasi!$L$39-Konvergensi!$D$325;2);PANGKAT(Normalisasi!$M$39-Konvergensi!$E$325;2);PANGKAT(Normalisasi!$N$39-Konvergensi!$F$325;2);PANGKAT(Normalisasi!$O$39-Konvergensi!$G$325;2);PANGKAT(Normalisasi!$P$39-Konvergensi!$H$325;2)))</f>
        <v/>
      </c>
      <c r="E373">
        <f>AKAR(JUMLAH(PANGKAT(Normalisasi!$J$39-Konvergensi!$B$326;2);PANGKAT(Normalisasi!$K$39-Konvergensi!$C$326;2);PANGKAT(Normalisasi!$L$39-Konvergensi!$D$326;2);PANGKAT(Normalisasi!$M$39-Konvergensi!$E$326;2);PANGKAT(Normalisasi!$N$39-Konvergensi!$F$326;2);PANGKAT(Normalisasi!$O$39-Konvergensi!$G$326;2);PANGKAT(Normalisasi!$P$39-Konvergensi!$H$326;2)))</f>
        <v/>
      </c>
      <c r="F373">
        <f>JIKA(C373&lt;=D373;=JIKA(C373&lt;=E373;0;2);=JIKA(D373&lt;=E373;1;2))</f>
        <v/>
      </c>
      <c r="G373">
        <f>JUMLAH(JIKA(F373=0;JUMLAH(PANGKAT(Normalisasi!$J$39-Konvergensi!$B$389;2);PANGKAT(Normalisasi!$K$39-Konvergensi!$C$389;2);PANGKAT(Normalisasi!$L$39-Konvergensi!$D$389;2);PANGKAT(Normalisasi!$M$39-Konvergensi!$E$389;2);PANGKAT(Normalisasi!$N$39-Konvergensi!$F$389;2);PANGKAT(Normalisasi!$O$39-Konvergensi!$G$389;2);PANGKAT(Normalisasi!$P$39-Konvergensi!$H$389;2));0);JIKA(F373=1;JUMLAH(PANGKAT(Normalisasi!$J$39-Konvergensi!$B$390;2);PANGKAT(Normalisasi!$K$39-Konvergensi!$C$390;2);PANGKAT(Normalisasi!$L$39-Konvergensi!$D$390;2);PANGKAT(Normalisasi!$M$39-Konvergensi!$E$390;2);PANGKAT(Normalisasi!$N$39-Konvergensi!$F$390;2);PANGKAT(Normalisasi!$O$39-Konvergensi!$G$390;2);PANGKAT(Normalisasi!$P$39-Konvergensi!$H$390;2));0);JIKA(F373=2;JUMLAH(PANGKAT(Normalisasi!$J$39-Konvergensi!$B$391;2);PANGKAT(Normalisasi!$K$39-Konvergensi!$C$391;2);PANGKAT(Normalisasi!$L$39-Konvergensi!$D$391;2);PANGKAT(Normalisasi!$M$39-Konvergensi!$E$391;2);PANGKAT(Normalisasi!$N$39-Konvergensi!$F$391;2);PANGKAT(Normalisasi!$O$39-Konvergensi!$G$391;2);PANGKAT(Normalisasi!$P$39-Konvergensi!$H$391;2));0))</f>
        <v/>
      </c>
      <c r="H373" t="n">
        <v>0</v>
      </c>
      <c r="I373" t="n">
        <v>10.00847300719492</v>
      </c>
    </row>
    <row r="374">
      <c r="A374">
        <f>Data_Awal!A40</f>
        <v/>
      </c>
      <c r="B374">
        <f>Data_Awal!B40</f>
        <v/>
      </c>
      <c r="C374">
        <f>AKAR(JUMLAH(PANGKAT(Normalisasi!$J$40-Konvergensi!$B$324;2);PANGKAT(Normalisasi!$K$40-Konvergensi!$C$324;2);PANGKAT(Normalisasi!$L$40-Konvergensi!$D$324;2);PANGKAT(Normalisasi!$M$40-Konvergensi!$E$324;2);PANGKAT(Normalisasi!$N$40-Konvergensi!$F$324;2);PANGKAT(Normalisasi!$O$40-Konvergensi!$G$324;2);PANGKAT(Normalisasi!$P$40-Konvergensi!$H$324;2)))</f>
        <v/>
      </c>
      <c r="D374">
        <f>AKAR(JUMLAH(PANGKAT(Normalisasi!$J$40-Konvergensi!$B$325;2);PANGKAT(Normalisasi!$K$40-Konvergensi!$C$325;2);PANGKAT(Normalisasi!$L$40-Konvergensi!$D$325;2);PANGKAT(Normalisasi!$M$40-Konvergensi!$E$325;2);PANGKAT(Normalisasi!$N$40-Konvergensi!$F$325;2);PANGKAT(Normalisasi!$O$40-Konvergensi!$G$325;2);PANGKAT(Normalisasi!$P$40-Konvergensi!$H$325;2)))</f>
        <v/>
      </c>
      <c r="E374">
        <f>AKAR(JUMLAH(PANGKAT(Normalisasi!$J$40-Konvergensi!$B$326;2);PANGKAT(Normalisasi!$K$40-Konvergensi!$C$326;2);PANGKAT(Normalisasi!$L$40-Konvergensi!$D$326;2);PANGKAT(Normalisasi!$M$40-Konvergensi!$E$326;2);PANGKAT(Normalisasi!$N$40-Konvergensi!$F$326;2);PANGKAT(Normalisasi!$O$40-Konvergensi!$G$326;2);PANGKAT(Normalisasi!$P$40-Konvergensi!$H$326;2)))</f>
        <v/>
      </c>
      <c r="F374">
        <f>JIKA(C374&lt;=D374;=JIKA(C374&lt;=E374;0;2);=JIKA(D374&lt;=E374;1;2))</f>
        <v/>
      </c>
      <c r="G374">
        <f>JUMLAH(JIKA(F374=0;JUMLAH(PANGKAT(Normalisasi!$J$40-Konvergensi!$B$389;2);PANGKAT(Normalisasi!$K$40-Konvergensi!$C$389;2);PANGKAT(Normalisasi!$L$40-Konvergensi!$D$389;2);PANGKAT(Normalisasi!$M$40-Konvergensi!$E$389;2);PANGKAT(Normalisasi!$N$40-Konvergensi!$F$389;2);PANGKAT(Normalisasi!$O$40-Konvergensi!$G$389;2);PANGKAT(Normalisasi!$P$40-Konvergensi!$H$389;2));0);JIKA(F374=1;JUMLAH(PANGKAT(Normalisasi!$J$40-Konvergensi!$B$390;2);PANGKAT(Normalisasi!$K$40-Konvergensi!$C$390;2);PANGKAT(Normalisasi!$L$40-Konvergensi!$D$390;2);PANGKAT(Normalisasi!$M$40-Konvergensi!$E$390;2);PANGKAT(Normalisasi!$N$40-Konvergensi!$F$390;2);PANGKAT(Normalisasi!$O$40-Konvergensi!$G$390;2);PANGKAT(Normalisasi!$P$40-Konvergensi!$H$390;2));0);JIKA(F374=2;JUMLAH(PANGKAT(Normalisasi!$J$40-Konvergensi!$B$391;2);PANGKAT(Normalisasi!$K$40-Konvergensi!$C$391;2);PANGKAT(Normalisasi!$L$40-Konvergensi!$D$391;2);PANGKAT(Normalisasi!$M$40-Konvergensi!$E$391;2);PANGKAT(Normalisasi!$N$40-Konvergensi!$F$391;2);PANGKAT(Normalisasi!$O$40-Konvergensi!$G$391;2);PANGKAT(Normalisasi!$P$40-Konvergensi!$H$391;2));0))</f>
        <v/>
      </c>
      <c r="H374" t="n">
        <v>1</v>
      </c>
      <c r="I374" t="n">
        <v>5.377265241702048</v>
      </c>
    </row>
    <row r="375">
      <c r="A375">
        <f>Data_Awal!A41</f>
        <v/>
      </c>
      <c r="B375">
        <f>Data_Awal!B41</f>
        <v/>
      </c>
      <c r="C375">
        <f>AKAR(JUMLAH(PANGKAT(Normalisasi!$J$41-Konvergensi!$B$324;2);PANGKAT(Normalisasi!$K$41-Konvergensi!$C$324;2);PANGKAT(Normalisasi!$L$41-Konvergensi!$D$324;2);PANGKAT(Normalisasi!$M$41-Konvergensi!$E$324;2);PANGKAT(Normalisasi!$N$41-Konvergensi!$F$324;2);PANGKAT(Normalisasi!$O$41-Konvergensi!$G$324;2);PANGKAT(Normalisasi!$P$41-Konvergensi!$H$324;2)))</f>
        <v/>
      </c>
      <c r="D375">
        <f>AKAR(JUMLAH(PANGKAT(Normalisasi!$J$41-Konvergensi!$B$325;2);PANGKAT(Normalisasi!$K$41-Konvergensi!$C$325;2);PANGKAT(Normalisasi!$L$41-Konvergensi!$D$325;2);PANGKAT(Normalisasi!$M$41-Konvergensi!$E$325;2);PANGKAT(Normalisasi!$N$41-Konvergensi!$F$325;2);PANGKAT(Normalisasi!$O$41-Konvergensi!$G$325;2);PANGKAT(Normalisasi!$P$41-Konvergensi!$H$325;2)))</f>
        <v/>
      </c>
      <c r="E375">
        <f>AKAR(JUMLAH(PANGKAT(Normalisasi!$J$41-Konvergensi!$B$326;2);PANGKAT(Normalisasi!$K$41-Konvergensi!$C$326;2);PANGKAT(Normalisasi!$L$41-Konvergensi!$D$326;2);PANGKAT(Normalisasi!$M$41-Konvergensi!$E$326;2);PANGKAT(Normalisasi!$N$41-Konvergensi!$F$326;2);PANGKAT(Normalisasi!$O$41-Konvergensi!$G$326;2);PANGKAT(Normalisasi!$P$41-Konvergensi!$H$326;2)))</f>
        <v/>
      </c>
      <c r="F375">
        <f>JIKA(C375&lt;=D375;=JIKA(C375&lt;=E375;0;2);=JIKA(D375&lt;=E375;1;2))</f>
        <v/>
      </c>
      <c r="G375">
        <f>JUMLAH(JIKA(F375=0;JUMLAH(PANGKAT(Normalisasi!$J$41-Konvergensi!$B$389;2);PANGKAT(Normalisasi!$K$41-Konvergensi!$C$389;2);PANGKAT(Normalisasi!$L$41-Konvergensi!$D$389;2);PANGKAT(Normalisasi!$M$41-Konvergensi!$E$389;2);PANGKAT(Normalisasi!$N$41-Konvergensi!$F$389;2);PANGKAT(Normalisasi!$O$41-Konvergensi!$G$389;2);PANGKAT(Normalisasi!$P$41-Konvergensi!$H$389;2));0);JIKA(F375=1;JUMLAH(PANGKAT(Normalisasi!$J$41-Konvergensi!$B$390;2);PANGKAT(Normalisasi!$K$41-Konvergensi!$C$390;2);PANGKAT(Normalisasi!$L$41-Konvergensi!$D$390;2);PANGKAT(Normalisasi!$M$41-Konvergensi!$E$390;2);PANGKAT(Normalisasi!$N$41-Konvergensi!$F$390;2);PANGKAT(Normalisasi!$O$41-Konvergensi!$G$390;2);PANGKAT(Normalisasi!$P$41-Konvergensi!$H$390;2));0);JIKA(F375=2;JUMLAH(PANGKAT(Normalisasi!$J$41-Konvergensi!$B$391;2);PANGKAT(Normalisasi!$K$41-Konvergensi!$C$391;2);PANGKAT(Normalisasi!$L$41-Konvergensi!$D$391;2);PANGKAT(Normalisasi!$M$41-Konvergensi!$E$391;2);PANGKAT(Normalisasi!$N$41-Konvergensi!$F$391;2);PANGKAT(Normalisasi!$O$41-Konvergensi!$G$391;2);PANGKAT(Normalisasi!$P$41-Konvergensi!$H$391;2));0))</f>
        <v/>
      </c>
      <c r="H375" t="n">
        <v>1</v>
      </c>
      <c r="I375" t="n">
        <v>6.528710760880894</v>
      </c>
    </row>
    <row r="376">
      <c r="A376">
        <f>Data_Awal!A42</f>
        <v/>
      </c>
      <c r="B376">
        <f>Data_Awal!B42</f>
        <v/>
      </c>
      <c r="C376">
        <f>AKAR(JUMLAH(PANGKAT(Normalisasi!$J$42-Konvergensi!$B$324;2);PANGKAT(Normalisasi!$K$42-Konvergensi!$C$324;2);PANGKAT(Normalisasi!$L$42-Konvergensi!$D$324;2);PANGKAT(Normalisasi!$M$42-Konvergensi!$E$324;2);PANGKAT(Normalisasi!$N$42-Konvergensi!$F$324;2);PANGKAT(Normalisasi!$O$42-Konvergensi!$G$324;2);PANGKAT(Normalisasi!$P$42-Konvergensi!$H$324;2)))</f>
        <v/>
      </c>
      <c r="D376">
        <f>AKAR(JUMLAH(PANGKAT(Normalisasi!$J$42-Konvergensi!$B$325;2);PANGKAT(Normalisasi!$K$42-Konvergensi!$C$325;2);PANGKAT(Normalisasi!$L$42-Konvergensi!$D$325;2);PANGKAT(Normalisasi!$M$42-Konvergensi!$E$325;2);PANGKAT(Normalisasi!$N$42-Konvergensi!$F$325;2);PANGKAT(Normalisasi!$O$42-Konvergensi!$G$325;2);PANGKAT(Normalisasi!$P$42-Konvergensi!$H$325;2)))</f>
        <v/>
      </c>
      <c r="E376">
        <f>AKAR(JUMLAH(PANGKAT(Normalisasi!$J$42-Konvergensi!$B$326;2);PANGKAT(Normalisasi!$K$42-Konvergensi!$C$326;2);PANGKAT(Normalisasi!$L$42-Konvergensi!$D$326;2);PANGKAT(Normalisasi!$M$42-Konvergensi!$E$326;2);PANGKAT(Normalisasi!$N$42-Konvergensi!$F$326;2);PANGKAT(Normalisasi!$O$42-Konvergensi!$G$326;2);PANGKAT(Normalisasi!$P$42-Konvergensi!$H$326;2)))</f>
        <v/>
      </c>
      <c r="F376">
        <f>JIKA(C376&lt;=D376;=JIKA(C376&lt;=E376;0;2);=JIKA(D376&lt;=E376;1;2))</f>
        <v/>
      </c>
      <c r="G376">
        <f>JUMLAH(JIKA(F376=0;JUMLAH(PANGKAT(Normalisasi!$J$42-Konvergensi!$B$389;2);PANGKAT(Normalisasi!$K$42-Konvergensi!$C$389;2);PANGKAT(Normalisasi!$L$42-Konvergensi!$D$389;2);PANGKAT(Normalisasi!$M$42-Konvergensi!$E$389;2);PANGKAT(Normalisasi!$N$42-Konvergensi!$F$389;2);PANGKAT(Normalisasi!$O$42-Konvergensi!$G$389;2);PANGKAT(Normalisasi!$P$42-Konvergensi!$H$389;2));0);JIKA(F376=1;JUMLAH(PANGKAT(Normalisasi!$J$42-Konvergensi!$B$390;2);PANGKAT(Normalisasi!$K$42-Konvergensi!$C$390;2);PANGKAT(Normalisasi!$L$42-Konvergensi!$D$390;2);PANGKAT(Normalisasi!$M$42-Konvergensi!$E$390;2);PANGKAT(Normalisasi!$N$42-Konvergensi!$F$390;2);PANGKAT(Normalisasi!$O$42-Konvergensi!$G$390;2);PANGKAT(Normalisasi!$P$42-Konvergensi!$H$390;2));0);JIKA(F376=2;JUMLAH(PANGKAT(Normalisasi!$J$42-Konvergensi!$B$391;2);PANGKAT(Normalisasi!$K$42-Konvergensi!$C$391;2);PANGKAT(Normalisasi!$L$42-Konvergensi!$D$391;2);PANGKAT(Normalisasi!$M$42-Konvergensi!$E$391;2);PANGKAT(Normalisasi!$N$42-Konvergensi!$F$391;2);PANGKAT(Normalisasi!$O$42-Konvergensi!$G$391;2);PANGKAT(Normalisasi!$P$42-Konvergensi!$H$391;2));0))</f>
        <v/>
      </c>
      <c r="H376" t="n">
        <v>0</v>
      </c>
      <c r="I376" t="n">
        <v>2.045541221896164</v>
      </c>
    </row>
    <row r="377">
      <c r="A377">
        <f>Data_Awal!A43</f>
        <v/>
      </c>
      <c r="B377">
        <f>Data_Awal!B43</f>
        <v/>
      </c>
      <c r="C377">
        <f>AKAR(JUMLAH(PANGKAT(Normalisasi!$J$43-Konvergensi!$B$324;2);PANGKAT(Normalisasi!$K$43-Konvergensi!$C$324;2);PANGKAT(Normalisasi!$L$43-Konvergensi!$D$324;2);PANGKAT(Normalisasi!$M$43-Konvergensi!$E$324;2);PANGKAT(Normalisasi!$N$43-Konvergensi!$F$324;2);PANGKAT(Normalisasi!$O$43-Konvergensi!$G$324;2);PANGKAT(Normalisasi!$P$43-Konvergensi!$H$324;2)))</f>
        <v/>
      </c>
      <c r="D377">
        <f>AKAR(JUMLAH(PANGKAT(Normalisasi!$J$43-Konvergensi!$B$325;2);PANGKAT(Normalisasi!$K$43-Konvergensi!$C$325;2);PANGKAT(Normalisasi!$L$43-Konvergensi!$D$325;2);PANGKAT(Normalisasi!$M$43-Konvergensi!$E$325;2);PANGKAT(Normalisasi!$N$43-Konvergensi!$F$325;2);PANGKAT(Normalisasi!$O$43-Konvergensi!$G$325;2);PANGKAT(Normalisasi!$P$43-Konvergensi!$H$325;2)))</f>
        <v/>
      </c>
      <c r="E377">
        <f>AKAR(JUMLAH(PANGKAT(Normalisasi!$J$43-Konvergensi!$B$326;2);PANGKAT(Normalisasi!$K$43-Konvergensi!$C$326;2);PANGKAT(Normalisasi!$L$43-Konvergensi!$D$326;2);PANGKAT(Normalisasi!$M$43-Konvergensi!$E$326;2);PANGKAT(Normalisasi!$N$43-Konvergensi!$F$326;2);PANGKAT(Normalisasi!$O$43-Konvergensi!$G$326;2);PANGKAT(Normalisasi!$P$43-Konvergensi!$H$326;2)))</f>
        <v/>
      </c>
      <c r="F377">
        <f>JIKA(C377&lt;=D377;=JIKA(C377&lt;=E377;0;2);=JIKA(D377&lt;=E377;1;2))</f>
        <v/>
      </c>
      <c r="G377">
        <f>JUMLAH(JIKA(F377=0;JUMLAH(PANGKAT(Normalisasi!$J$43-Konvergensi!$B$389;2);PANGKAT(Normalisasi!$K$43-Konvergensi!$C$389;2);PANGKAT(Normalisasi!$L$43-Konvergensi!$D$389;2);PANGKAT(Normalisasi!$M$43-Konvergensi!$E$389;2);PANGKAT(Normalisasi!$N$43-Konvergensi!$F$389;2);PANGKAT(Normalisasi!$O$43-Konvergensi!$G$389;2);PANGKAT(Normalisasi!$P$43-Konvergensi!$H$389;2));0);JIKA(F377=1;JUMLAH(PANGKAT(Normalisasi!$J$43-Konvergensi!$B$390;2);PANGKAT(Normalisasi!$K$43-Konvergensi!$C$390;2);PANGKAT(Normalisasi!$L$43-Konvergensi!$D$390;2);PANGKAT(Normalisasi!$M$43-Konvergensi!$E$390;2);PANGKAT(Normalisasi!$N$43-Konvergensi!$F$390;2);PANGKAT(Normalisasi!$O$43-Konvergensi!$G$390;2);PANGKAT(Normalisasi!$P$43-Konvergensi!$H$390;2));0);JIKA(F377=2;JUMLAH(PANGKAT(Normalisasi!$J$43-Konvergensi!$B$391;2);PANGKAT(Normalisasi!$K$43-Konvergensi!$C$391;2);PANGKAT(Normalisasi!$L$43-Konvergensi!$D$391;2);PANGKAT(Normalisasi!$M$43-Konvergensi!$E$391;2);PANGKAT(Normalisasi!$N$43-Konvergensi!$F$391;2);PANGKAT(Normalisasi!$O$43-Konvergensi!$G$391;2);PANGKAT(Normalisasi!$P$43-Konvergensi!$H$391;2));0))</f>
        <v/>
      </c>
      <c r="H377" t="n">
        <v>2</v>
      </c>
      <c r="I377" t="n">
        <v>5.305024028220038</v>
      </c>
    </row>
    <row r="378">
      <c r="A378">
        <f>Data_Awal!A44</f>
        <v/>
      </c>
      <c r="B378">
        <f>Data_Awal!B44</f>
        <v/>
      </c>
      <c r="C378">
        <f>AKAR(JUMLAH(PANGKAT(Normalisasi!$J$44-Konvergensi!$B$324;2);PANGKAT(Normalisasi!$K$44-Konvergensi!$C$324;2);PANGKAT(Normalisasi!$L$44-Konvergensi!$D$324;2);PANGKAT(Normalisasi!$M$44-Konvergensi!$E$324;2);PANGKAT(Normalisasi!$N$44-Konvergensi!$F$324;2);PANGKAT(Normalisasi!$O$44-Konvergensi!$G$324;2);PANGKAT(Normalisasi!$P$44-Konvergensi!$H$324;2)))</f>
        <v/>
      </c>
      <c r="D378">
        <f>AKAR(JUMLAH(PANGKAT(Normalisasi!$J$44-Konvergensi!$B$325;2);PANGKAT(Normalisasi!$K$44-Konvergensi!$C$325;2);PANGKAT(Normalisasi!$L$44-Konvergensi!$D$325;2);PANGKAT(Normalisasi!$M$44-Konvergensi!$E$325;2);PANGKAT(Normalisasi!$N$44-Konvergensi!$F$325;2);PANGKAT(Normalisasi!$O$44-Konvergensi!$G$325;2);PANGKAT(Normalisasi!$P$44-Konvergensi!$H$325;2)))</f>
        <v/>
      </c>
      <c r="E378">
        <f>AKAR(JUMLAH(PANGKAT(Normalisasi!$J$44-Konvergensi!$B$326;2);PANGKAT(Normalisasi!$K$44-Konvergensi!$C$326;2);PANGKAT(Normalisasi!$L$44-Konvergensi!$D$326;2);PANGKAT(Normalisasi!$M$44-Konvergensi!$E$326;2);PANGKAT(Normalisasi!$N$44-Konvergensi!$F$326;2);PANGKAT(Normalisasi!$O$44-Konvergensi!$G$326;2);PANGKAT(Normalisasi!$P$44-Konvergensi!$H$326;2)))</f>
        <v/>
      </c>
      <c r="F378">
        <f>JIKA(C378&lt;=D378;=JIKA(C378&lt;=E378;0;2);=JIKA(D378&lt;=E378;1;2))</f>
        <v/>
      </c>
      <c r="G378">
        <f>JUMLAH(JIKA(F378=0;JUMLAH(PANGKAT(Normalisasi!$J$44-Konvergensi!$B$389;2);PANGKAT(Normalisasi!$K$44-Konvergensi!$C$389;2);PANGKAT(Normalisasi!$L$44-Konvergensi!$D$389;2);PANGKAT(Normalisasi!$M$44-Konvergensi!$E$389;2);PANGKAT(Normalisasi!$N$44-Konvergensi!$F$389;2);PANGKAT(Normalisasi!$O$44-Konvergensi!$G$389;2);PANGKAT(Normalisasi!$P$44-Konvergensi!$H$389;2));0);JIKA(F378=1;JUMLAH(PANGKAT(Normalisasi!$J$44-Konvergensi!$B$390;2);PANGKAT(Normalisasi!$K$44-Konvergensi!$C$390;2);PANGKAT(Normalisasi!$L$44-Konvergensi!$D$390;2);PANGKAT(Normalisasi!$M$44-Konvergensi!$E$390;2);PANGKAT(Normalisasi!$N$44-Konvergensi!$F$390;2);PANGKAT(Normalisasi!$O$44-Konvergensi!$G$390;2);PANGKAT(Normalisasi!$P$44-Konvergensi!$H$390;2));0);JIKA(F378=2;JUMLAH(PANGKAT(Normalisasi!$J$44-Konvergensi!$B$391;2);PANGKAT(Normalisasi!$K$44-Konvergensi!$C$391;2);PANGKAT(Normalisasi!$L$44-Konvergensi!$D$391;2);PANGKAT(Normalisasi!$M$44-Konvergensi!$E$391;2);PANGKAT(Normalisasi!$N$44-Konvergensi!$F$391;2);PANGKAT(Normalisasi!$O$44-Konvergensi!$G$391;2);PANGKAT(Normalisasi!$P$44-Konvergensi!$H$391;2));0))</f>
        <v/>
      </c>
      <c r="H378" t="n">
        <v>2</v>
      </c>
      <c r="I378" t="n">
        <v>2.246205425449803</v>
      </c>
    </row>
    <row r="379">
      <c r="A379">
        <f>Data_Awal!A45</f>
        <v/>
      </c>
      <c r="B379">
        <f>Data_Awal!B45</f>
        <v/>
      </c>
      <c r="C379">
        <f>AKAR(JUMLAH(PANGKAT(Normalisasi!$J$45-Konvergensi!$B$324;2);PANGKAT(Normalisasi!$K$45-Konvergensi!$C$324;2);PANGKAT(Normalisasi!$L$45-Konvergensi!$D$324;2);PANGKAT(Normalisasi!$M$45-Konvergensi!$E$324;2);PANGKAT(Normalisasi!$N$45-Konvergensi!$F$324;2);PANGKAT(Normalisasi!$O$45-Konvergensi!$G$324;2);PANGKAT(Normalisasi!$P$45-Konvergensi!$H$324;2)))</f>
        <v/>
      </c>
      <c r="D379">
        <f>AKAR(JUMLAH(PANGKAT(Normalisasi!$J$45-Konvergensi!$B$325;2);PANGKAT(Normalisasi!$K$45-Konvergensi!$C$325;2);PANGKAT(Normalisasi!$L$45-Konvergensi!$D$325;2);PANGKAT(Normalisasi!$M$45-Konvergensi!$E$325;2);PANGKAT(Normalisasi!$N$45-Konvergensi!$F$325;2);PANGKAT(Normalisasi!$O$45-Konvergensi!$G$325;2);PANGKAT(Normalisasi!$P$45-Konvergensi!$H$325;2)))</f>
        <v/>
      </c>
      <c r="E379">
        <f>AKAR(JUMLAH(PANGKAT(Normalisasi!$J$45-Konvergensi!$B$326;2);PANGKAT(Normalisasi!$K$45-Konvergensi!$C$326;2);PANGKAT(Normalisasi!$L$45-Konvergensi!$D$326;2);PANGKAT(Normalisasi!$M$45-Konvergensi!$E$326;2);PANGKAT(Normalisasi!$N$45-Konvergensi!$F$326;2);PANGKAT(Normalisasi!$O$45-Konvergensi!$G$326;2);PANGKAT(Normalisasi!$P$45-Konvergensi!$H$326;2)))</f>
        <v/>
      </c>
      <c r="F379">
        <f>JIKA(C379&lt;=D379;=JIKA(C379&lt;=E379;0;2);=JIKA(D379&lt;=E379;1;2))</f>
        <v/>
      </c>
      <c r="G379">
        <f>JUMLAH(JIKA(F379=0;JUMLAH(PANGKAT(Normalisasi!$J$45-Konvergensi!$B$389;2);PANGKAT(Normalisasi!$K$45-Konvergensi!$C$389;2);PANGKAT(Normalisasi!$L$45-Konvergensi!$D$389;2);PANGKAT(Normalisasi!$M$45-Konvergensi!$E$389;2);PANGKAT(Normalisasi!$N$45-Konvergensi!$F$389;2);PANGKAT(Normalisasi!$O$45-Konvergensi!$G$389;2);PANGKAT(Normalisasi!$P$45-Konvergensi!$H$389;2));0);JIKA(F379=1;JUMLAH(PANGKAT(Normalisasi!$J$45-Konvergensi!$B$390;2);PANGKAT(Normalisasi!$K$45-Konvergensi!$C$390;2);PANGKAT(Normalisasi!$L$45-Konvergensi!$D$390;2);PANGKAT(Normalisasi!$M$45-Konvergensi!$E$390;2);PANGKAT(Normalisasi!$N$45-Konvergensi!$F$390;2);PANGKAT(Normalisasi!$O$45-Konvergensi!$G$390;2);PANGKAT(Normalisasi!$P$45-Konvergensi!$H$390;2));0);JIKA(F379=2;JUMLAH(PANGKAT(Normalisasi!$J$45-Konvergensi!$B$391;2);PANGKAT(Normalisasi!$K$45-Konvergensi!$C$391;2);PANGKAT(Normalisasi!$L$45-Konvergensi!$D$391;2);PANGKAT(Normalisasi!$M$45-Konvergensi!$E$391;2);PANGKAT(Normalisasi!$N$45-Konvergensi!$F$391;2);PANGKAT(Normalisasi!$O$45-Konvergensi!$G$391;2);PANGKAT(Normalisasi!$P$45-Konvergensi!$H$391;2));0))</f>
        <v/>
      </c>
      <c r="H379" t="n">
        <v>2</v>
      </c>
      <c r="I379" t="n">
        <v>5.969049865463372</v>
      </c>
    </row>
    <row r="380">
      <c r="A380">
        <f>Data_Awal!A46</f>
        <v/>
      </c>
      <c r="B380">
        <f>Data_Awal!B46</f>
        <v/>
      </c>
      <c r="C380">
        <f>AKAR(JUMLAH(PANGKAT(Normalisasi!$J$46-Konvergensi!$B$324;2);PANGKAT(Normalisasi!$K$46-Konvergensi!$C$324;2);PANGKAT(Normalisasi!$L$46-Konvergensi!$D$324;2);PANGKAT(Normalisasi!$M$46-Konvergensi!$E$324;2);PANGKAT(Normalisasi!$N$46-Konvergensi!$F$324;2);PANGKAT(Normalisasi!$O$46-Konvergensi!$G$324;2);PANGKAT(Normalisasi!$P$46-Konvergensi!$H$324;2)))</f>
        <v/>
      </c>
      <c r="D380">
        <f>AKAR(JUMLAH(PANGKAT(Normalisasi!$J$46-Konvergensi!$B$325;2);PANGKAT(Normalisasi!$K$46-Konvergensi!$C$325;2);PANGKAT(Normalisasi!$L$46-Konvergensi!$D$325;2);PANGKAT(Normalisasi!$M$46-Konvergensi!$E$325;2);PANGKAT(Normalisasi!$N$46-Konvergensi!$F$325;2);PANGKAT(Normalisasi!$O$46-Konvergensi!$G$325;2);PANGKAT(Normalisasi!$P$46-Konvergensi!$H$325;2)))</f>
        <v/>
      </c>
      <c r="E380">
        <f>AKAR(JUMLAH(PANGKAT(Normalisasi!$J$46-Konvergensi!$B$326;2);PANGKAT(Normalisasi!$K$46-Konvergensi!$C$326;2);PANGKAT(Normalisasi!$L$46-Konvergensi!$D$326;2);PANGKAT(Normalisasi!$M$46-Konvergensi!$E$326;2);PANGKAT(Normalisasi!$N$46-Konvergensi!$F$326;2);PANGKAT(Normalisasi!$O$46-Konvergensi!$G$326;2);PANGKAT(Normalisasi!$P$46-Konvergensi!$H$326;2)))</f>
        <v/>
      </c>
      <c r="F380">
        <f>JIKA(C380&lt;=D380;=JIKA(C380&lt;=E380;0;2);=JIKA(D380&lt;=E380;1;2))</f>
        <v/>
      </c>
      <c r="G380">
        <f>JUMLAH(JIKA(F380=0;JUMLAH(PANGKAT(Normalisasi!$J$46-Konvergensi!$B$389;2);PANGKAT(Normalisasi!$K$46-Konvergensi!$C$389;2);PANGKAT(Normalisasi!$L$46-Konvergensi!$D$389;2);PANGKAT(Normalisasi!$M$46-Konvergensi!$E$389;2);PANGKAT(Normalisasi!$N$46-Konvergensi!$F$389;2);PANGKAT(Normalisasi!$O$46-Konvergensi!$G$389;2);PANGKAT(Normalisasi!$P$46-Konvergensi!$H$389;2));0);JIKA(F380=1;JUMLAH(PANGKAT(Normalisasi!$J$46-Konvergensi!$B$390;2);PANGKAT(Normalisasi!$K$46-Konvergensi!$C$390;2);PANGKAT(Normalisasi!$L$46-Konvergensi!$D$390;2);PANGKAT(Normalisasi!$M$46-Konvergensi!$E$390;2);PANGKAT(Normalisasi!$N$46-Konvergensi!$F$390;2);PANGKAT(Normalisasi!$O$46-Konvergensi!$G$390;2);PANGKAT(Normalisasi!$P$46-Konvergensi!$H$390;2));0);JIKA(F380=2;JUMLAH(PANGKAT(Normalisasi!$J$46-Konvergensi!$B$391;2);PANGKAT(Normalisasi!$K$46-Konvergensi!$C$391;2);PANGKAT(Normalisasi!$L$46-Konvergensi!$D$391;2);PANGKAT(Normalisasi!$M$46-Konvergensi!$E$391;2);PANGKAT(Normalisasi!$N$46-Konvergensi!$F$391;2);PANGKAT(Normalisasi!$O$46-Konvergensi!$G$391;2);PANGKAT(Normalisasi!$P$46-Konvergensi!$H$391;2));0))</f>
        <v/>
      </c>
      <c r="H380" t="n">
        <v>2</v>
      </c>
      <c r="I380" t="n">
        <v>5.430738110209711</v>
      </c>
    </row>
    <row r="381">
      <c r="A381">
        <f>Data_Awal!A47</f>
        <v/>
      </c>
      <c r="B381">
        <f>Data_Awal!B47</f>
        <v/>
      </c>
      <c r="C381">
        <f>AKAR(JUMLAH(PANGKAT(Normalisasi!$J$47-Konvergensi!$B$324;2);PANGKAT(Normalisasi!$K$47-Konvergensi!$C$324;2);PANGKAT(Normalisasi!$L$47-Konvergensi!$D$324;2);PANGKAT(Normalisasi!$M$47-Konvergensi!$E$324;2);PANGKAT(Normalisasi!$N$47-Konvergensi!$F$324;2);PANGKAT(Normalisasi!$O$47-Konvergensi!$G$324;2);PANGKAT(Normalisasi!$P$47-Konvergensi!$H$324;2)))</f>
        <v/>
      </c>
      <c r="D381">
        <f>AKAR(JUMLAH(PANGKAT(Normalisasi!$J$47-Konvergensi!$B$325;2);PANGKAT(Normalisasi!$K$47-Konvergensi!$C$325;2);PANGKAT(Normalisasi!$L$47-Konvergensi!$D$325;2);PANGKAT(Normalisasi!$M$47-Konvergensi!$E$325;2);PANGKAT(Normalisasi!$N$47-Konvergensi!$F$325;2);PANGKAT(Normalisasi!$O$47-Konvergensi!$G$325;2);PANGKAT(Normalisasi!$P$47-Konvergensi!$H$325;2)))</f>
        <v/>
      </c>
      <c r="E381">
        <f>AKAR(JUMLAH(PANGKAT(Normalisasi!$J$47-Konvergensi!$B$326;2);PANGKAT(Normalisasi!$K$47-Konvergensi!$C$326;2);PANGKAT(Normalisasi!$L$47-Konvergensi!$D$326;2);PANGKAT(Normalisasi!$M$47-Konvergensi!$E$326;2);PANGKAT(Normalisasi!$N$47-Konvergensi!$F$326;2);PANGKAT(Normalisasi!$O$47-Konvergensi!$G$326;2);PANGKAT(Normalisasi!$P$47-Konvergensi!$H$326;2)))</f>
        <v/>
      </c>
      <c r="F381">
        <f>JIKA(C381&lt;=D381;=JIKA(C381&lt;=E381;0;2);=JIKA(D381&lt;=E381;1;2))</f>
        <v/>
      </c>
      <c r="G381">
        <f>JUMLAH(JIKA(F381=0;JUMLAH(PANGKAT(Normalisasi!$J$47-Konvergensi!$B$389;2);PANGKAT(Normalisasi!$K$47-Konvergensi!$C$389;2);PANGKAT(Normalisasi!$L$47-Konvergensi!$D$389;2);PANGKAT(Normalisasi!$M$47-Konvergensi!$E$389;2);PANGKAT(Normalisasi!$N$47-Konvergensi!$F$389;2);PANGKAT(Normalisasi!$O$47-Konvergensi!$G$389;2);PANGKAT(Normalisasi!$P$47-Konvergensi!$H$389;2));0);JIKA(F381=1;JUMLAH(PANGKAT(Normalisasi!$J$47-Konvergensi!$B$390;2);PANGKAT(Normalisasi!$K$47-Konvergensi!$C$390;2);PANGKAT(Normalisasi!$L$47-Konvergensi!$D$390;2);PANGKAT(Normalisasi!$M$47-Konvergensi!$E$390;2);PANGKAT(Normalisasi!$N$47-Konvergensi!$F$390;2);PANGKAT(Normalisasi!$O$47-Konvergensi!$G$390;2);PANGKAT(Normalisasi!$P$47-Konvergensi!$H$390;2));0);JIKA(F381=2;JUMLAH(PANGKAT(Normalisasi!$J$47-Konvergensi!$B$391;2);PANGKAT(Normalisasi!$K$47-Konvergensi!$C$391;2);PANGKAT(Normalisasi!$L$47-Konvergensi!$D$391;2);PANGKAT(Normalisasi!$M$47-Konvergensi!$E$391;2);PANGKAT(Normalisasi!$N$47-Konvergensi!$F$391;2);PANGKAT(Normalisasi!$O$47-Konvergensi!$G$391;2);PANGKAT(Normalisasi!$P$47-Konvergensi!$H$391;2));0))</f>
        <v/>
      </c>
      <c r="H381" t="n">
        <v>2</v>
      </c>
      <c r="I381" t="n">
        <v>1.87477256816284</v>
      </c>
    </row>
    <row r="382">
      <c r="A382">
        <f>Data_Awal!A48</f>
        <v/>
      </c>
      <c r="B382">
        <f>Data_Awal!B48</f>
        <v/>
      </c>
      <c r="C382">
        <f>AKAR(JUMLAH(PANGKAT(Normalisasi!$J$48-Konvergensi!$B$324;2);PANGKAT(Normalisasi!$K$48-Konvergensi!$C$324;2);PANGKAT(Normalisasi!$L$48-Konvergensi!$D$324;2);PANGKAT(Normalisasi!$M$48-Konvergensi!$E$324;2);PANGKAT(Normalisasi!$N$48-Konvergensi!$F$324;2);PANGKAT(Normalisasi!$O$48-Konvergensi!$G$324;2);PANGKAT(Normalisasi!$P$48-Konvergensi!$H$324;2)))</f>
        <v/>
      </c>
      <c r="D382">
        <f>AKAR(JUMLAH(PANGKAT(Normalisasi!$J$48-Konvergensi!$B$325;2);PANGKAT(Normalisasi!$K$48-Konvergensi!$C$325;2);PANGKAT(Normalisasi!$L$48-Konvergensi!$D$325;2);PANGKAT(Normalisasi!$M$48-Konvergensi!$E$325;2);PANGKAT(Normalisasi!$N$48-Konvergensi!$F$325;2);PANGKAT(Normalisasi!$O$48-Konvergensi!$G$325;2);PANGKAT(Normalisasi!$P$48-Konvergensi!$H$325;2)))</f>
        <v/>
      </c>
      <c r="E382">
        <f>AKAR(JUMLAH(PANGKAT(Normalisasi!$J$48-Konvergensi!$B$326;2);PANGKAT(Normalisasi!$K$48-Konvergensi!$C$326;2);PANGKAT(Normalisasi!$L$48-Konvergensi!$D$326;2);PANGKAT(Normalisasi!$M$48-Konvergensi!$E$326;2);PANGKAT(Normalisasi!$N$48-Konvergensi!$F$326;2);PANGKAT(Normalisasi!$O$48-Konvergensi!$G$326;2);PANGKAT(Normalisasi!$P$48-Konvergensi!$H$326;2)))</f>
        <v/>
      </c>
      <c r="F382">
        <f>JIKA(C382&lt;=D382;=JIKA(C382&lt;=E382;0;2);=JIKA(D382&lt;=E382;1;2))</f>
        <v/>
      </c>
      <c r="G382">
        <f>JUMLAH(JIKA(F382=0;JUMLAH(PANGKAT(Normalisasi!$J$48-Konvergensi!$B$389;2);PANGKAT(Normalisasi!$K$48-Konvergensi!$C$389;2);PANGKAT(Normalisasi!$L$48-Konvergensi!$D$389;2);PANGKAT(Normalisasi!$M$48-Konvergensi!$E$389;2);PANGKAT(Normalisasi!$N$48-Konvergensi!$F$389;2);PANGKAT(Normalisasi!$O$48-Konvergensi!$G$389;2);PANGKAT(Normalisasi!$P$48-Konvergensi!$H$389;2));0);JIKA(F382=1;JUMLAH(PANGKAT(Normalisasi!$J$48-Konvergensi!$B$390;2);PANGKAT(Normalisasi!$K$48-Konvergensi!$C$390;2);PANGKAT(Normalisasi!$L$48-Konvergensi!$D$390;2);PANGKAT(Normalisasi!$M$48-Konvergensi!$E$390;2);PANGKAT(Normalisasi!$N$48-Konvergensi!$F$390;2);PANGKAT(Normalisasi!$O$48-Konvergensi!$G$390;2);PANGKAT(Normalisasi!$P$48-Konvergensi!$H$390;2));0);JIKA(F382=2;JUMLAH(PANGKAT(Normalisasi!$J$48-Konvergensi!$B$391;2);PANGKAT(Normalisasi!$K$48-Konvergensi!$C$391;2);PANGKAT(Normalisasi!$L$48-Konvergensi!$D$391;2);PANGKAT(Normalisasi!$M$48-Konvergensi!$E$391;2);PANGKAT(Normalisasi!$N$48-Konvergensi!$F$391;2);PANGKAT(Normalisasi!$O$48-Konvergensi!$G$391;2);PANGKAT(Normalisasi!$P$48-Konvergensi!$H$391;2));0))</f>
        <v/>
      </c>
      <c r="H382" t="n">
        <v>1</v>
      </c>
      <c r="I382" t="n">
        <v>2.481879974083219</v>
      </c>
    </row>
    <row r="383">
      <c r="A383">
        <f>Data_Awal!A49</f>
        <v/>
      </c>
      <c r="B383">
        <f>Data_Awal!B49</f>
        <v/>
      </c>
      <c r="C383">
        <f>AKAR(JUMLAH(PANGKAT(Normalisasi!$J$49-Konvergensi!$B$324;2);PANGKAT(Normalisasi!$K$49-Konvergensi!$C$324;2);PANGKAT(Normalisasi!$L$49-Konvergensi!$D$324;2);PANGKAT(Normalisasi!$M$49-Konvergensi!$E$324;2);PANGKAT(Normalisasi!$N$49-Konvergensi!$F$324;2);PANGKAT(Normalisasi!$O$49-Konvergensi!$G$324;2);PANGKAT(Normalisasi!$P$49-Konvergensi!$H$324;2)))</f>
        <v/>
      </c>
      <c r="D383">
        <f>AKAR(JUMLAH(PANGKAT(Normalisasi!$J$49-Konvergensi!$B$325;2);PANGKAT(Normalisasi!$K$49-Konvergensi!$C$325;2);PANGKAT(Normalisasi!$L$49-Konvergensi!$D$325;2);PANGKAT(Normalisasi!$M$49-Konvergensi!$E$325;2);PANGKAT(Normalisasi!$N$49-Konvergensi!$F$325;2);PANGKAT(Normalisasi!$O$49-Konvergensi!$G$325;2);PANGKAT(Normalisasi!$P$49-Konvergensi!$H$325;2)))</f>
        <v/>
      </c>
      <c r="E383">
        <f>AKAR(JUMLAH(PANGKAT(Normalisasi!$J$49-Konvergensi!$B$326;2);PANGKAT(Normalisasi!$K$49-Konvergensi!$C$326;2);PANGKAT(Normalisasi!$L$49-Konvergensi!$D$326;2);PANGKAT(Normalisasi!$M$49-Konvergensi!$E$326;2);PANGKAT(Normalisasi!$N$49-Konvergensi!$F$326;2);PANGKAT(Normalisasi!$O$49-Konvergensi!$G$326;2);PANGKAT(Normalisasi!$P$49-Konvergensi!$H$326;2)))</f>
        <v/>
      </c>
      <c r="F383">
        <f>JIKA(C383&lt;=D383;=JIKA(C383&lt;=E383;0;2);=JIKA(D383&lt;=E383;1;2))</f>
        <v/>
      </c>
      <c r="G383">
        <f>JUMLAH(JIKA(F383=0;JUMLAH(PANGKAT(Normalisasi!$J$49-Konvergensi!$B$389;2);PANGKAT(Normalisasi!$K$49-Konvergensi!$C$389;2);PANGKAT(Normalisasi!$L$49-Konvergensi!$D$389;2);PANGKAT(Normalisasi!$M$49-Konvergensi!$E$389;2);PANGKAT(Normalisasi!$N$49-Konvergensi!$F$389;2);PANGKAT(Normalisasi!$O$49-Konvergensi!$G$389;2);PANGKAT(Normalisasi!$P$49-Konvergensi!$H$389;2));0);JIKA(F383=1;JUMLAH(PANGKAT(Normalisasi!$J$49-Konvergensi!$B$390;2);PANGKAT(Normalisasi!$K$49-Konvergensi!$C$390;2);PANGKAT(Normalisasi!$L$49-Konvergensi!$D$390;2);PANGKAT(Normalisasi!$M$49-Konvergensi!$E$390;2);PANGKAT(Normalisasi!$N$49-Konvergensi!$F$390;2);PANGKAT(Normalisasi!$O$49-Konvergensi!$G$390;2);PANGKAT(Normalisasi!$P$49-Konvergensi!$H$390;2));0);JIKA(F383=2;JUMLAH(PANGKAT(Normalisasi!$J$49-Konvergensi!$B$391;2);PANGKAT(Normalisasi!$K$49-Konvergensi!$C$391;2);PANGKAT(Normalisasi!$L$49-Konvergensi!$D$391;2);PANGKAT(Normalisasi!$M$49-Konvergensi!$E$391;2);PANGKAT(Normalisasi!$N$49-Konvergensi!$F$391;2);PANGKAT(Normalisasi!$O$49-Konvergensi!$G$391;2);PANGKAT(Normalisasi!$P$49-Konvergensi!$H$391;2));0))</f>
        <v/>
      </c>
      <c r="H383" t="n">
        <v>0</v>
      </c>
      <c r="I383" t="n">
        <v>2.42471551264788</v>
      </c>
    </row>
    <row r="384">
      <c r="A384">
        <f>Data_Awal!A50</f>
        <v/>
      </c>
      <c r="B384">
        <f>Data_Awal!B50</f>
        <v/>
      </c>
      <c r="C384">
        <f>AKAR(JUMLAH(PANGKAT(Normalisasi!$J$50-Konvergensi!$B$324;2);PANGKAT(Normalisasi!$K$50-Konvergensi!$C$324;2);PANGKAT(Normalisasi!$L$50-Konvergensi!$D$324;2);PANGKAT(Normalisasi!$M$50-Konvergensi!$E$324;2);PANGKAT(Normalisasi!$N$50-Konvergensi!$F$324;2);PANGKAT(Normalisasi!$O$50-Konvergensi!$G$324;2);PANGKAT(Normalisasi!$P$50-Konvergensi!$H$324;2)))</f>
        <v/>
      </c>
      <c r="D384">
        <f>AKAR(JUMLAH(PANGKAT(Normalisasi!$J$50-Konvergensi!$B$325;2);PANGKAT(Normalisasi!$K$50-Konvergensi!$C$325;2);PANGKAT(Normalisasi!$L$50-Konvergensi!$D$325;2);PANGKAT(Normalisasi!$M$50-Konvergensi!$E$325;2);PANGKAT(Normalisasi!$N$50-Konvergensi!$F$325;2);PANGKAT(Normalisasi!$O$50-Konvergensi!$G$325;2);PANGKAT(Normalisasi!$P$50-Konvergensi!$H$325;2)))</f>
        <v/>
      </c>
      <c r="E384">
        <f>AKAR(JUMLAH(PANGKAT(Normalisasi!$J$50-Konvergensi!$B$326;2);PANGKAT(Normalisasi!$K$50-Konvergensi!$C$326;2);PANGKAT(Normalisasi!$L$50-Konvergensi!$D$326;2);PANGKAT(Normalisasi!$M$50-Konvergensi!$E$326;2);PANGKAT(Normalisasi!$N$50-Konvergensi!$F$326;2);PANGKAT(Normalisasi!$O$50-Konvergensi!$G$326;2);PANGKAT(Normalisasi!$P$50-Konvergensi!$H$326;2)))</f>
        <v/>
      </c>
      <c r="F384">
        <f>JIKA(C384&lt;=D384;=JIKA(C384&lt;=E384;0;2);=JIKA(D384&lt;=E384;1;2))</f>
        <v/>
      </c>
      <c r="G384">
        <f>JUMLAH(JIKA(F384=0;JUMLAH(PANGKAT(Normalisasi!$J$50-Konvergensi!$B$389;2);PANGKAT(Normalisasi!$K$50-Konvergensi!$C$389;2);PANGKAT(Normalisasi!$L$50-Konvergensi!$D$389;2);PANGKAT(Normalisasi!$M$50-Konvergensi!$E$389;2);PANGKAT(Normalisasi!$N$50-Konvergensi!$F$389;2);PANGKAT(Normalisasi!$O$50-Konvergensi!$G$389;2);PANGKAT(Normalisasi!$P$50-Konvergensi!$H$389;2));0);JIKA(F384=1;JUMLAH(PANGKAT(Normalisasi!$J$50-Konvergensi!$B$390;2);PANGKAT(Normalisasi!$K$50-Konvergensi!$C$390;2);PANGKAT(Normalisasi!$L$50-Konvergensi!$D$390;2);PANGKAT(Normalisasi!$M$50-Konvergensi!$E$390;2);PANGKAT(Normalisasi!$N$50-Konvergensi!$F$390;2);PANGKAT(Normalisasi!$O$50-Konvergensi!$G$390;2);PANGKAT(Normalisasi!$P$50-Konvergensi!$H$390;2));0);JIKA(F384=2;JUMLAH(PANGKAT(Normalisasi!$J$50-Konvergensi!$B$391;2);PANGKAT(Normalisasi!$K$50-Konvergensi!$C$391;2);PANGKAT(Normalisasi!$L$50-Konvergensi!$D$391;2);PANGKAT(Normalisasi!$M$50-Konvergensi!$E$391;2);PANGKAT(Normalisasi!$N$50-Konvergensi!$F$391;2);PANGKAT(Normalisasi!$O$50-Konvergensi!$G$391;2);PANGKAT(Normalisasi!$P$50-Konvergensi!$H$391;2));0))</f>
        <v/>
      </c>
      <c r="H384" t="n">
        <v>0</v>
      </c>
      <c r="I384" t="n">
        <v>3.944523374585173</v>
      </c>
    </row>
    <row r="385">
      <c r="A385">
        <f>Data_Awal!A51</f>
        <v/>
      </c>
      <c r="B385">
        <f>Data_Awal!B51</f>
        <v/>
      </c>
      <c r="C385">
        <f>AKAR(JUMLAH(PANGKAT(Normalisasi!$J$51-Konvergensi!$B$324;2);PANGKAT(Normalisasi!$K$51-Konvergensi!$C$324;2);PANGKAT(Normalisasi!$L$51-Konvergensi!$D$324;2);PANGKAT(Normalisasi!$M$51-Konvergensi!$E$324;2);PANGKAT(Normalisasi!$N$51-Konvergensi!$F$324;2);PANGKAT(Normalisasi!$O$51-Konvergensi!$G$324;2);PANGKAT(Normalisasi!$P$51-Konvergensi!$H$324;2)))</f>
        <v/>
      </c>
      <c r="D385">
        <f>AKAR(JUMLAH(PANGKAT(Normalisasi!$J$51-Konvergensi!$B$325;2);PANGKAT(Normalisasi!$K$51-Konvergensi!$C$325;2);PANGKAT(Normalisasi!$L$51-Konvergensi!$D$325;2);PANGKAT(Normalisasi!$M$51-Konvergensi!$E$325;2);PANGKAT(Normalisasi!$N$51-Konvergensi!$F$325;2);PANGKAT(Normalisasi!$O$51-Konvergensi!$G$325;2);PANGKAT(Normalisasi!$P$51-Konvergensi!$H$325;2)))</f>
        <v/>
      </c>
      <c r="E385">
        <f>AKAR(JUMLAH(PANGKAT(Normalisasi!$J$51-Konvergensi!$B$326;2);PANGKAT(Normalisasi!$K$51-Konvergensi!$C$326;2);PANGKAT(Normalisasi!$L$51-Konvergensi!$D$326;2);PANGKAT(Normalisasi!$M$51-Konvergensi!$E$326;2);PANGKAT(Normalisasi!$N$51-Konvergensi!$F$326;2);PANGKAT(Normalisasi!$O$51-Konvergensi!$G$326;2);PANGKAT(Normalisasi!$P$51-Konvergensi!$H$326;2)))</f>
        <v/>
      </c>
      <c r="F385">
        <f>JIKA(C385&lt;=D385;=JIKA(C385&lt;=E385;0;2);=JIKA(D385&lt;=E385;1;2))</f>
        <v/>
      </c>
      <c r="G385">
        <f>JUMLAH(JIKA(F385=0;JUMLAH(PANGKAT(Normalisasi!$J$51-Konvergensi!$B$389;2);PANGKAT(Normalisasi!$K$51-Konvergensi!$C$389;2);PANGKAT(Normalisasi!$L$51-Konvergensi!$D$389;2);PANGKAT(Normalisasi!$M$51-Konvergensi!$E$389;2);PANGKAT(Normalisasi!$N$51-Konvergensi!$F$389;2);PANGKAT(Normalisasi!$O$51-Konvergensi!$G$389;2);PANGKAT(Normalisasi!$P$51-Konvergensi!$H$389;2));0);JIKA(F385=1;JUMLAH(PANGKAT(Normalisasi!$J$51-Konvergensi!$B$390;2);PANGKAT(Normalisasi!$K$51-Konvergensi!$C$390;2);PANGKAT(Normalisasi!$L$51-Konvergensi!$D$390;2);PANGKAT(Normalisasi!$M$51-Konvergensi!$E$390;2);PANGKAT(Normalisasi!$N$51-Konvergensi!$F$390;2);PANGKAT(Normalisasi!$O$51-Konvergensi!$G$390;2);PANGKAT(Normalisasi!$P$51-Konvergensi!$H$390;2));0);JIKA(F385=2;JUMLAH(PANGKAT(Normalisasi!$J$51-Konvergensi!$B$391;2);PANGKAT(Normalisasi!$K$51-Konvergensi!$C$391;2);PANGKAT(Normalisasi!$L$51-Konvergensi!$D$391;2);PANGKAT(Normalisasi!$M$51-Konvergensi!$E$391;2);PANGKAT(Normalisasi!$N$51-Konvergensi!$F$391;2);PANGKAT(Normalisasi!$O$51-Konvergensi!$G$391;2);PANGKAT(Normalisasi!$P$51-Konvergensi!$H$391;2));0))</f>
        <v/>
      </c>
      <c r="H385" t="n">
        <v>2</v>
      </c>
      <c r="I385" t="n">
        <v>2.837672846267772</v>
      </c>
    </row>
    <row r="387">
      <c r="A387" s="4" t="inlineStr">
        <is>
          <t>Centroid baru setelah iter 6</t>
        </is>
      </c>
    </row>
    <row r="388">
      <c r="A388" t="inlineStr">
        <is>
          <t>Cluster</t>
        </is>
      </c>
      <c r="B388" s="1" t="inlineStr">
        <is>
          <t>Z Latitude</t>
        </is>
      </c>
      <c r="C388" s="1" t="inlineStr">
        <is>
          <t>Z Longitude</t>
        </is>
      </c>
      <c r="D388" s="1" t="inlineStr">
        <is>
          <t>Z Semantic Score</t>
        </is>
      </c>
      <c r="E388" s="1" t="inlineStr">
        <is>
          <t>Z Jarak Hotel (m)</t>
        </is>
      </c>
      <c r="F388" s="1" t="inlineStr">
        <is>
          <t>Z Jarak Halte (m)</t>
        </is>
      </c>
      <c r="G388" s="1" t="inlineStr">
        <is>
          <t>Z Restoran 500m</t>
        </is>
      </c>
      <c r="H388" s="1" t="inlineStr">
        <is>
          <t>Z Minimarket 500m</t>
        </is>
      </c>
    </row>
    <row r="389">
      <c r="A389" t="inlineStr">
        <is>
          <t>C0</t>
        </is>
      </c>
      <c r="B389">
        <f>RATA.RATA.JIKA($F$336:$F$385;0;Normalisasi!$J$2:$J$51)</f>
        <v/>
      </c>
      <c r="C389">
        <f>RATA.RATA.JIKA($F$336:$F$385;0;Normalisasi!$K$2:$K$51)</f>
        <v/>
      </c>
      <c r="D389">
        <f>RATA.RATA.JIKA($F$336:$F$385;0;Normalisasi!$L$2:$L$51)</f>
        <v/>
      </c>
      <c r="E389">
        <f>RATA.RATA.JIKA($F$336:$F$385;0;Normalisasi!$M$2:$M$51)</f>
        <v/>
      </c>
      <c r="F389">
        <f>RATA.RATA.JIKA($F$336:$F$385;0;Normalisasi!$N$2:$N$51)</f>
        <v/>
      </c>
      <c r="G389">
        <f>RATA.RATA.JIKA($F$336:$F$385;0;Normalisasi!$O$2:$O$51)</f>
        <v/>
      </c>
      <c r="H389">
        <f>RATA.RATA.JIKA($F$336:$F$385;0;Normalisasi!$P$2:$P$51)</f>
        <v/>
      </c>
      <c r="J389" t="n">
        <v>-0.3102238462289067</v>
      </c>
      <c r="K389" t="n">
        <v>-0.0198061739644888</v>
      </c>
      <c r="L389" t="n">
        <v>-0.2448720724456121</v>
      </c>
      <c r="M389" t="n">
        <v>-0.4699048541809683</v>
      </c>
      <c r="N389" t="n">
        <v>-0.5405486781505501</v>
      </c>
      <c r="O389" t="n">
        <v>-0.5817221587218807</v>
      </c>
      <c r="P389" t="n">
        <v>0.1733841121248565</v>
      </c>
    </row>
    <row r="390">
      <c r="A390" t="inlineStr">
        <is>
          <t>C1</t>
        </is>
      </c>
      <c r="B390">
        <f>RATA.RATA.JIKA($F$336:$F$385;1;Normalisasi!$J$2:$J$51)</f>
        <v/>
      </c>
      <c r="C390">
        <f>RATA.RATA.JIKA($F$336:$F$385;1;Normalisasi!$K$2:$K$51)</f>
        <v/>
      </c>
      <c r="D390">
        <f>RATA.RATA.JIKA($F$336:$F$385;1;Normalisasi!$L$2:$L$51)</f>
        <v/>
      </c>
      <c r="E390">
        <f>RATA.RATA.JIKA($F$336:$F$385;1;Normalisasi!$M$2:$M$51)</f>
        <v/>
      </c>
      <c r="F390">
        <f>RATA.RATA.JIKA($F$336:$F$385;1;Normalisasi!$N$2:$N$51)</f>
        <v/>
      </c>
      <c r="G390">
        <f>RATA.RATA.JIKA($F$336:$F$385;1;Normalisasi!$O$2:$O$51)</f>
        <v/>
      </c>
      <c r="H390">
        <f>RATA.RATA.JIKA($F$336:$F$385;1;Normalisasi!$P$2:$P$51)</f>
        <v/>
      </c>
      <c r="J390" t="n">
        <v>-0.2130554528799716</v>
      </c>
      <c r="K390" t="n">
        <v>0.1131244561175998</v>
      </c>
      <c r="L390" t="n">
        <v>0.3407250115346307</v>
      </c>
      <c r="M390" t="n">
        <v>0.4655491846085689</v>
      </c>
      <c r="N390" t="n">
        <v>1.070404003170514</v>
      </c>
      <c r="O390" t="n">
        <v>0.3409213405072328</v>
      </c>
      <c r="P390" t="n">
        <v>-0.7153653834791738</v>
      </c>
    </row>
    <row r="391">
      <c r="A391" t="inlineStr">
        <is>
          <t>C2</t>
        </is>
      </c>
      <c r="B391">
        <f>RATA.RATA.JIKA($F$336:$F$385;2;Normalisasi!$J$2:$J$51)</f>
        <v/>
      </c>
      <c r="C391">
        <f>RATA.RATA.JIKA($F$336:$F$385;2;Normalisasi!$K$2:$K$51)</f>
        <v/>
      </c>
      <c r="D391">
        <f>RATA.RATA.JIKA($F$336:$F$385;2;Normalisasi!$L$2:$L$51)</f>
        <v/>
      </c>
      <c r="E391">
        <f>RATA.RATA.JIKA($F$336:$F$385;2;Normalisasi!$M$2:$M$51)</f>
        <v/>
      </c>
      <c r="F391">
        <f>RATA.RATA.JIKA($F$336:$F$385;2;Normalisasi!$N$2:$N$51)</f>
        <v/>
      </c>
      <c r="G391">
        <f>RATA.RATA.JIKA($F$336:$F$385;2;Normalisasi!$O$2:$O$51)</f>
        <v/>
      </c>
      <c r="H391">
        <f>RATA.RATA.JIKA($F$336:$F$385;2;Normalisasi!$P$2:$P$51)</f>
        <v/>
      </c>
      <c r="J391" t="n">
        <v>1.08542595555738</v>
      </c>
      <c r="K391" t="n">
        <v>-0.133464312272861</v>
      </c>
      <c r="L391" t="n">
        <v>0.04253295541405648</v>
      </c>
      <c r="M391" t="n">
        <v>0.3828929546606136</v>
      </c>
      <c r="N391" t="n">
        <v>-0.4153295775115047</v>
      </c>
      <c r="O391" t="n">
        <v>0.8506590361209408</v>
      </c>
      <c r="P391" t="n">
        <v>0.7284627444670229</v>
      </c>
    </row>
    <row r="393">
      <c r="A393" t="inlineStr">
        <is>
          <t>Total WCSS (Excel)</t>
        </is>
      </c>
      <c r="B393">
        <f>JUMLAH($G$336:$G$385)</f>
        <v/>
      </c>
    </row>
    <row r="394">
      <c r="A394" t="inlineStr">
        <is>
          <t>Total WCSS (Python)</t>
        </is>
      </c>
      <c r="B394" t="n">
        <v>262.7388669281873</v>
      </c>
    </row>
    <row r="395">
      <c r="A395" t="inlineStr">
        <is>
          <t>Selisih WCSS</t>
        </is>
      </c>
      <c r="B395">
        <f>ABS(B393-B394)</f>
        <v/>
      </c>
    </row>
    <row r="396">
      <c r="A396" t="inlineStr">
        <is>
          <t>Label berubah?</t>
        </is>
      </c>
      <c r="B396">
        <f>JIKA(JUMLAH(JIKA($F$336:$F$385&lt;&gt;$F$336:$F$385;1;0))=0;"Tidak";"Ya")</f>
        <v/>
      </c>
    </row>
    <row r="397">
      <c r="A397" t="inlineStr">
        <is>
          <t>Max shift centroid</t>
        </is>
      </c>
      <c r="B397" t="n">
        <v>0.1968069058491576</v>
      </c>
    </row>
    <row r="399">
      <c r="A399" s="4" t="inlineStr">
        <is>
          <t>ITER 7 — Assignment &amp; Centroid Baru</t>
        </is>
      </c>
    </row>
    <row r="400">
      <c r="A400" s="1" t="inlineStr">
        <is>
          <t>POI ID</t>
        </is>
      </c>
      <c r="B400" s="1" t="inlineStr">
        <is>
          <t>Nama</t>
        </is>
      </c>
      <c r="C400" s="1" t="inlineStr">
        <is>
          <t>d(C0)</t>
        </is>
      </c>
      <c r="D400" s="1" t="inlineStr">
        <is>
          <t>d(C1)</t>
        </is>
      </c>
      <c r="E400" s="1" t="inlineStr">
        <is>
          <t>d(C2)</t>
        </is>
      </c>
      <c r="F400" s="1" t="inlineStr">
        <is>
          <t>Cluster</t>
        </is>
      </c>
      <c r="G400" s="1" t="inlineStr">
        <is>
          <t>WCSS POI</t>
        </is>
      </c>
      <c r="H400" s="1" t="inlineStr">
        <is>
          <t>Py Cluster</t>
        </is>
      </c>
      <c r="I400" s="1" t="inlineStr">
        <is>
          <t>Py WCSS</t>
        </is>
      </c>
    </row>
    <row r="401">
      <c r="A401">
        <f>Data_Awal!A2</f>
        <v/>
      </c>
      <c r="B401">
        <f>Data_Awal!B2</f>
        <v/>
      </c>
      <c r="C401">
        <f>AKAR(JUMLAH(PANGKAT(Normalisasi!$J$2-Konvergensi!$B$389;2);PANGKAT(Normalisasi!$K$2-Konvergensi!$C$389;2);PANGKAT(Normalisasi!$L$2-Konvergensi!$D$389;2);PANGKAT(Normalisasi!$M$2-Konvergensi!$E$389;2);PANGKAT(Normalisasi!$N$2-Konvergensi!$F$389;2);PANGKAT(Normalisasi!$O$2-Konvergensi!$G$389;2);PANGKAT(Normalisasi!$P$2-Konvergensi!$H$389;2)))</f>
        <v/>
      </c>
      <c r="D401">
        <f>AKAR(JUMLAH(PANGKAT(Normalisasi!$J$2-Konvergensi!$B$390;2);PANGKAT(Normalisasi!$K$2-Konvergensi!$C$390;2);PANGKAT(Normalisasi!$L$2-Konvergensi!$D$390;2);PANGKAT(Normalisasi!$M$2-Konvergensi!$E$390;2);PANGKAT(Normalisasi!$N$2-Konvergensi!$F$390;2);PANGKAT(Normalisasi!$O$2-Konvergensi!$G$390;2);PANGKAT(Normalisasi!$P$2-Konvergensi!$H$390;2)))</f>
        <v/>
      </c>
      <c r="E401">
        <f>AKAR(JUMLAH(PANGKAT(Normalisasi!$J$2-Konvergensi!$B$391;2);PANGKAT(Normalisasi!$K$2-Konvergensi!$C$391;2);PANGKAT(Normalisasi!$L$2-Konvergensi!$D$391;2);PANGKAT(Normalisasi!$M$2-Konvergensi!$E$391;2);PANGKAT(Normalisasi!$N$2-Konvergensi!$F$391;2);PANGKAT(Normalisasi!$O$2-Konvergensi!$G$391;2);PANGKAT(Normalisasi!$P$2-Konvergensi!$H$391;2)))</f>
        <v/>
      </c>
      <c r="F401">
        <f>JIKA(C401&lt;=D401;=JIKA(C401&lt;=E401;0;2);=JIKA(D401&lt;=E401;1;2))</f>
        <v/>
      </c>
      <c r="G401">
        <f>JUMLAH(JIKA(F401=0;JUMLAH(PANGKAT(Normalisasi!$J$2-Konvergensi!$B$454;2);PANGKAT(Normalisasi!$K$2-Konvergensi!$C$454;2);PANGKAT(Normalisasi!$L$2-Konvergensi!$D$454;2);PANGKAT(Normalisasi!$M$2-Konvergensi!$E$454;2);PANGKAT(Normalisasi!$N$2-Konvergensi!$F$454;2);PANGKAT(Normalisasi!$O$2-Konvergensi!$G$454;2);PANGKAT(Normalisasi!$P$2-Konvergensi!$H$454;2));0);JIKA(F401=1;JUMLAH(PANGKAT(Normalisasi!$J$2-Konvergensi!$B$455;2);PANGKAT(Normalisasi!$K$2-Konvergensi!$C$455;2);PANGKAT(Normalisasi!$L$2-Konvergensi!$D$455;2);PANGKAT(Normalisasi!$M$2-Konvergensi!$E$455;2);PANGKAT(Normalisasi!$N$2-Konvergensi!$F$455;2);PANGKAT(Normalisasi!$O$2-Konvergensi!$G$455;2);PANGKAT(Normalisasi!$P$2-Konvergensi!$H$455;2));0);JIKA(F401=2;JUMLAH(PANGKAT(Normalisasi!$J$2-Konvergensi!$B$456;2);PANGKAT(Normalisasi!$K$2-Konvergensi!$C$456;2);PANGKAT(Normalisasi!$L$2-Konvergensi!$D$456;2);PANGKAT(Normalisasi!$M$2-Konvergensi!$E$456;2);PANGKAT(Normalisasi!$N$2-Konvergensi!$F$456;2);PANGKAT(Normalisasi!$O$2-Konvergensi!$G$456;2);PANGKAT(Normalisasi!$P$2-Konvergensi!$H$456;2));0))</f>
        <v/>
      </c>
      <c r="H401" t="n">
        <v>0</v>
      </c>
      <c r="I401" t="n">
        <v>8.045357471287627</v>
      </c>
    </row>
    <row r="402">
      <c r="A402">
        <f>Data_Awal!A3</f>
        <v/>
      </c>
      <c r="B402">
        <f>Data_Awal!B3</f>
        <v/>
      </c>
      <c r="C402">
        <f>AKAR(JUMLAH(PANGKAT(Normalisasi!$J$3-Konvergensi!$B$389;2);PANGKAT(Normalisasi!$K$3-Konvergensi!$C$389;2);PANGKAT(Normalisasi!$L$3-Konvergensi!$D$389;2);PANGKAT(Normalisasi!$M$3-Konvergensi!$E$389;2);PANGKAT(Normalisasi!$N$3-Konvergensi!$F$389;2);PANGKAT(Normalisasi!$O$3-Konvergensi!$G$389;2);PANGKAT(Normalisasi!$P$3-Konvergensi!$H$389;2)))</f>
        <v/>
      </c>
      <c r="D402">
        <f>AKAR(JUMLAH(PANGKAT(Normalisasi!$J$3-Konvergensi!$B$390;2);PANGKAT(Normalisasi!$K$3-Konvergensi!$C$390;2);PANGKAT(Normalisasi!$L$3-Konvergensi!$D$390;2);PANGKAT(Normalisasi!$M$3-Konvergensi!$E$390;2);PANGKAT(Normalisasi!$N$3-Konvergensi!$F$390;2);PANGKAT(Normalisasi!$O$3-Konvergensi!$G$390;2);PANGKAT(Normalisasi!$P$3-Konvergensi!$H$390;2)))</f>
        <v/>
      </c>
      <c r="E402">
        <f>AKAR(JUMLAH(PANGKAT(Normalisasi!$J$3-Konvergensi!$B$391;2);PANGKAT(Normalisasi!$K$3-Konvergensi!$C$391;2);PANGKAT(Normalisasi!$L$3-Konvergensi!$D$391;2);PANGKAT(Normalisasi!$M$3-Konvergensi!$E$391;2);PANGKAT(Normalisasi!$N$3-Konvergensi!$F$391;2);PANGKAT(Normalisasi!$O$3-Konvergensi!$G$391;2);PANGKAT(Normalisasi!$P$3-Konvergensi!$H$391;2)))</f>
        <v/>
      </c>
      <c r="F402">
        <f>JIKA(C402&lt;=D402;=JIKA(C402&lt;=E402;0;2);=JIKA(D402&lt;=E402;1;2))</f>
        <v/>
      </c>
      <c r="G402">
        <f>JUMLAH(JIKA(F402=0;JUMLAH(PANGKAT(Normalisasi!$J$3-Konvergensi!$B$454;2);PANGKAT(Normalisasi!$K$3-Konvergensi!$C$454;2);PANGKAT(Normalisasi!$L$3-Konvergensi!$D$454;2);PANGKAT(Normalisasi!$M$3-Konvergensi!$E$454;2);PANGKAT(Normalisasi!$N$3-Konvergensi!$F$454;2);PANGKAT(Normalisasi!$O$3-Konvergensi!$G$454;2);PANGKAT(Normalisasi!$P$3-Konvergensi!$H$454;2));0);JIKA(F402=1;JUMLAH(PANGKAT(Normalisasi!$J$3-Konvergensi!$B$455;2);PANGKAT(Normalisasi!$K$3-Konvergensi!$C$455;2);PANGKAT(Normalisasi!$L$3-Konvergensi!$D$455;2);PANGKAT(Normalisasi!$M$3-Konvergensi!$E$455;2);PANGKAT(Normalisasi!$N$3-Konvergensi!$F$455;2);PANGKAT(Normalisasi!$O$3-Konvergensi!$G$455;2);PANGKAT(Normalisasi!$P$3-Konvergensi!$H$455;2));0);JIKA(F402=2;JUMLAH(PANGKAT(Normalisasi!$J$3-Konvergensi!$B$456;2);PANGKAT(Normalisasi!$K$3-Konvergensi!$C$456;2);PANGKAT(Normalisasi!$L$3-Konvergensi!$D$456;2);PANGKAT(Normalisasi!$M$3-Konvergensi!$E$456;2);PANGKAT(Normalisasi!$N$3-Konvergensi!$F$456;2);PANGKAT(Normalisasi!$O$3-Konvergensi!$G$456;2);PANGKAT(Normalisasi!$P$3-Konvergensi!$H$456;2));0))</f>
        <v/>
      </c>
      <c r="H402" t="n">
        <v>1</v>
      </c>
      <c r="I402" t="n">
        <v>6.219456093813692</v>
      </c>
    </row>
    <row r="403">
      <c r="A403">
        <f>Data_Awal!A4</f>
        <v/>
      </c>
      <c r="B403">
        <f>Data_Awal!B4</f>
        <v/>
      </c>
      <c r="C403">
        <f>AKAR(JUMLAH(PANGKAT(Normalisasi!$J$4-Konvergensi!$B$389;2);PANGKAT(Normalisasi!$K$4-Konvergensi!$C$389;2);PANGKAT(Normalisasi!$L$4-Konvergensi!$D$389;2);PANGKAT(Normalisasi!$M$4-Konvergensi!$E$389;2);PANGKAT(Normalisasi!$N$4-Konvergensi!$F$389;2);PANGKAT(Normalisasi!$O$4-Konvergensi!$G$389;2);PANGKAT(Normalisasi!$P$4-Konvergensi!$H$389;2)))</f>
        <v/>
      </c>
      <c r="D403">
        <f>AKAR(JUMLAH(PANGKAT(Normalisasi!$J$4-Konvergensi!$B$390;2);PANGKAT(Normalisasi!$K$4-Konvergensi!$C$390;2);PANGKAT(Normalisasi!$L$4-Konvergensi!$D$390;2);PANGKAT(Normalisasi!$M$4-Konvergensi!$E$390;2);PANGKAT(Normalisasi!$N$4-Konvergensi!$F$390;2);PANGKAT(Normalisasi!$O$4-Konvergensi!$G$390;2);PANGKAT(Normalisasi!$P$4-Konvergensi!$H$390;2)))</f>
        <v/>
      </c>
      <c r="E403">
        <f>AKAR(JUMLAH(PANGKAT(Normalisasi!$J$4-Konvergensi!$B$391;2);PANGKAT(Normalisasi!$K$4-Konvergensi!$C$391;2);PANGKAT(Normalisasi!$L$4-Konvergensi!$D$391;2);PANGKAT(Normalisasi!$M$4-Konvergensi!$E$391;2);PANGKAT(Normalisasi!$N$4-Konvergensi!$F$391;2);PANGKAT(Normalisasi!$O$4-Konvergensi!$G$391;2);PANGKAT(Normalisasi!$P$4-Konvergensi!$H$391;2)))</f>
        <v/>
      </c>
      <c r="F403">
        <f>JIKA(C403&lt;=D403;=JIKA(C403&lt;=E403;0;2);=JIKA(D403&lt;=E403;1;2))</f>
        <v/>
      </c>
      <c r="G403">
        <f>JUMLAH(JIKA(F403=0;JUMLAH(PANGKAT(Normalisasi!$J$4-Konvergensi!$B$454;2);PANGKAT(Normalisasi!$K$4-Konvergensi!$C$454;2);PANGKAT(Normalisasi!$L$4-Konvergensi!$D$454;2);PANGKAT(Normalisasi!$M$4-Konvergensi!$E$454;2);PANGKAT(Normalisasi!$N$4-Konvergensi!$F$454;2);PANGKAT(Normalisasi!$O$4-Konvergensi!$G$454;2);PANGKAT(Normalisasi!$P$4-Konvergensi!$H$454;2));0);JIKA(F403=1;JUMLAH(PANGKAT(Normalisasi!$J$4-Konvergensi!$B$455;2);PANGKAT(Normalisasi!$K$4-Konvergensi!$C$455;2);PANGKAT(Normalisasi!$L$4-Konvergensi!$D$455;2);PANGKAT(Normalisasi!$M$4-Konvergensi!$E$455;2);PANGKAT(Normalisasi!$N$4-Konvergensi!$F$455;2);PANGKAT(Normalisasi!$O$4-Konvergensi!$G$455;2);PANGKAT(Normalisasi!$P$4-Konvergensi!$H$455;2));0);JIKA(F403=2;JUMLAH(PANGKAT(Normalisasi!$J$4-Konvergensi!$B$456;2);PANGKAT(Normalisasi!$K$4-Konvergensi!$C$456;2);PANGKAT(Normalisasi!$L$4-Konvergensi!$D$456;2);PANGKAT(Normalisasi!$M$4-Konvergensi!$E$456;2);PANGKAT(Normalisasi!$N$4-Konvergensi!$F$456;2);PANGKAT(Normalisasi!$O$4-Konvergensi!$G$456;2);PANGKAT(Normalisasi!$P$4-Konvergensi!$H$456;2));0))</f>
        <v/>
      </c>
      <c r="H403" t="n">
        <v>1</v>
      </c>
      <c r="I403" t="n">
        <v>5.986214447050536</v>
      </c>
    </row>
    <row r="404">
      <c r="A404">
        <f>Data_Awal!A5</f>
        <v/>
      </c>
      <c r="B404">
        <f>Data_Awal!B5</f>
        <v/>
      </c>
      <c r="C404">
        <f>AKAR(JUMLAH(PANGKAT(Normalisasi!$J$5-Konvergensi!$B$389;2);PANGKAT(Normalisasi!$K$5-Konvergensi!$C$389;2);PANGKAT(Normalisasi!$L$5-Konvergensi!$D$389;2);PANGKAT(Normalisasi!$M$5-Konvergensi!$E$389;2);PANGKAT(Normalisasi!$N$5-Konvergensi!$F$389;2);PANGKAT(Normalisasi!$O$5-Konvergensi!$G$389;2);PANGKAT(Normalisasi!$P$5-Konvergensi!$H$389;2)))</f>
        <v/>
      </c>
      <c r="D404">
        <f>AKAR(JUMLAH(PANGKAT(Normalisasi!$J$5-Konvergensi!$B$390;2);PANGKAT(Normalisasi!$K$5-Konvergensi!$C$390;2);PANGKAT(Normalisasi!$L$5-Konvergensi!$D$390;2);PANGKAT(Normalisasi!$M$5-Konvergensi!$E$390;2);PANGKAT(Normalisasi!$N$5-Konvergensi!$F$390;2);PANGKAT(Normalisasi!$O$5-Konvergensi!$G$390;2);PANGKAT(Normalisasi!$P$5-Konvergensi!$H$390;2)))</f>
        <v/>
      </c>
      <c r="E404">
        <f>AKAR(JUMLAH(PANGKAT(Normalisasi!$J$5-Konvergensi!$B$391;2);PANGKAT(Normalisasi!$K$5-Konvergensi!$C$391;2);PANGKAT(Normalisasi!$L$5-Konvergensi!$D$391;2);PANGKAT(Normalisasi!$M$5-Konvergensi!$E$391;2);PANGKAT(Normalisasi!$N$5-Konvergensi!$F$391;2);PANGKAT(Normalisasi!$O$5-Konvergensi!$G$391;2);PANGKAT(Normalisasi!$P$5-Konvergensi!$H$391;2)))</f>
        <v/>
      </c>
      <c r="F404">
        <f>JIKA(C404&lt;=D404;=JIKA(C404&lt;=E404;0;2);=JIKA(D404&lt;=E404;1;2))</f>
        <v/>
      </c>
      <c r="G404">
        <f>JUMLAH(JIKA(F404=0;JUMLAH(PANGKAT(Normalisasi!$J$5-Konvergensi!$B$454;2);PANGKAT(Normalisasi!$K$5-Konvergensi!$C$454;2);PANGKAT(Normalisasi!$L$5-Konvergensi!$D$454;2);PANGKAT(Normalisasi!$M$5-Konvergensi!$E$454;2);PANGKAT(Normalisasi!$N$5-Konvergensi!$F$454;2);PANGKAT(Normalisasi!$O$5-Konvergensi!$G$454;2);PANGKAT(Normalisasi!$P$5-Konvergensi!$H$454;2));0);JIKA(F404=1;JUMLAH(PANGKAT(Normalisasi!$J$5-Konvergensi!$B$455;2);PANGKAT(Normalisasi!$K$5-Konvergensi!$C$455;2);PANGKAT(Normalisasi!$L$5-Konvergensi!$D$455;2);PANGKAT(Normalisasi!$M$5-Konvergensi!$E$455;2);PANGKAT(Normalisasi!$N$5-Konvergensi!$F$455;2);PANGKAT(Normalisasi!$O$5-Konvergensi!$G$455;2);PANGKAT(Normalisasi!$P$5-Konvergensi!$H$455;2));0);JIKA(F404=2;JUMLAH(PANGKAT(Normalisasi!$J$5-Konvergensi!$B$456;2);PANGKAT(Normalisasi!$K$5-Konvergensi!$C$456;2);PANGKAT(Normalisasi!$L$5-Konvergensi!$D$456;2);PANGKAT(Normalisasi!$M$5-Konvergensi!$E$456;2);PANGKAT(Normalisasi!$N$5-Konvergensi!$F$456;2);PANGKAT(Normalisasi!$O$5-Konvergensi!$G$456;2);PANGKAT(Normalisasi!$P$5-Konvergensi!$H$456;2));0))</f>
        <v/>
      </c>
      <c r="H404" t="n">
        <v>0</v>
      </c>
      <c r="I404" t="n">
        <v>6.47232139384032</v>
      </c>
    </row>
    <row r="405">
      <c r="A405">
        <f>Data_Awal!A6</f>
        <v/>
      </c>
      <c r="B405">
        <f>Data_Awal!B6</f>
        <v/>
      </c>
      <c r="C405">
        <f>AKAR(JUMLAH(PANGKAT(Normalisasi!$J$6-Konvergensi!$B$389;2);PANGKAT(Normalisasi!$K$6-Konvergensi!$C$389;2);PANGKAT(Normalisasi!$L$6-Konvergensi!$D$389;2);PANGKAT(Normalisasi!$M$6-Konvergensi!$E$389;2);PANGKAT(Normalisasi!$N$6-Konvergensi!$F$389;2);PANGKAT(Normalisasi!$O$6-Konvergensi!$G$389;2);PANGKAT(Normalisasi!$P$6-Konvergensi!$H$389;2)))</f>
        <v/>
      </c>
      <c r="D405">
        <f>AKAR(JUMLAH(PANGKAT(Normalisasi!$J$6-Konvergensi!$B$390;2);PANGKAT(Normalisasi!$K$6-Konvergensi!$C$390;2);PANGKAT(Normalisasi!$L$6-Konvergensi!$D$390;2);PANGKAT(Normalisasi!$M$6-Konvergensi!$E$390;2);PANGKAT(Normalisasi!$N$6-Konvergensi!$F$390;2);PANGKAT(Normalisasi!$O$6-Konvergensi!$G$390;2);PANGKAT(Normalisasi!$P$6-Konvergensi!$H$390;2)))</f>
        <v/>
      </c>
      <c r="E405">
        <f>AKAR(JUMLAH(PANGKAT(Normalisasi!$J$6-Konvergensi!$B$391;2);PANGKAT(Normalisasi!$K$6-Konvergensi!$C$391;2);PANGKAT(Normalisasi!$L$6-Konvergensi!$D$391;2);PANGKAT(Normalisasi!$M$6-Konvergensi!$E$391;2);PANGKAT(Normalisasi!$N$6-Konvergensi!$F$391;2);PANGKAT(Normalisasi!$O$6-Konvergensi!$G$391;2);PANGKAT(Normalisasi!$P$6-Konvergensi!$H$391;2)))</f>
        <v/>
      </c>
      <c r="F405">
        <f>JIKA(C405&lt;=D405;=JIKA(C405&lt;=E405;0;2);=JIKA(D405&lt;=E405;1;2))</f>
        <v/>
      </c>
      <c r="G405">
        <f>JUMLAH(JIKA(F405=0;JUMLAH(PANGKAT(Normalisasi!$J$6-Konvergensi!$B$454;2);PANGKAT(Normalisasi!$K$6-Konvergensi!$C$454;2);PANGKAT(Normalisasi!$L$6-Konvergensi!$D$454;2);PANGKAT(Normalisasi!$M$6-Konvergensi!$E$454;2);PANGKAT(Normalisasi!$N$6-Konvergensi!$F$454;2);PANGKAT(Normalisasi!$O$6-Konvergensi!$G$454;2);PANGKAT(Normalisasi!$P$6-Konvergensi!$H$454;2));0);JIKA(F405=1;JUMLAH(PANGKAT(Normalisasi!$J$6-Konvergensi!$B$455;2);PANGKAT(Normalisasi!$K$6-Konvergensi!$C$455;2);PANGKAT(Normalisasi!$L$6-Konvergensi!$D$455;2);PANGKAT(Normalisasi!$M$6-Konvergensi!$E$455;2);PANGKAT(Normalisasi!$N$6-Konvergensi!$F$455;2);PANGKAT(Normalisasi!$O$6-Konvergensi!$G$455;2);PANGKAT(Normalisasi!$P$6-Konvergensi!$H$455;2));0);JIKA(F405=2;JUMLAH(PANGKAT(Normalisasi!$J$6-Konvergensi!$B$456;2);PANGKAT(Normalisasi!$K$6-Konvergensi!$C$456;2);PANGKAT(Normalisasi!$L$6-Konvergensi!$D$456;2);PANGKAT(Normalisasi!$M$6-Konvergensi!$E$456;2);PANGKAT(Normalisasi!$N$6-Konvergensi!$F$456;2);PANGKAT(Normalisasi!$O$6-Konvergensi!$G$456;2);PANGKAT(Normalisasi!$P$6-Konvergensi!$H$456;2));0))</f>
        <v/>
      </c>
      <c r="H405" t="n">
        <v>0</v>
      </c>
      <c r="I405" t="n">
        <v>5.727916360831387</v>
      </c>
    </row>
    <row r="406">
      <c r="A406">
        <f>Data_Awal!A7</f>
        <v/>
      </c>
      <c r="B406">
        <f>Data_Awal!B7</f>
        <v/>
      </c>
      <c r="C406">
        <f>AKAR(JUMLAH(PANGKAT(Normalisasi!$J$7-Konvergensi!$B$389;2);PANGKAT(Normalisasi!$K$7-Konvergensi!$C$389;2);PANGKAT(Normalisasi!$L$7-Konvergensi!$D$389;2);PANGKAT(Normalisasi!$M$7-Konvergensi!$E$389;2);PANGKAT(Normalisasi!$N$7-Konvergensi!$F$389;2);PANGKAT(Normalisasi!$O$7-Konvergensi!$G$389;2);PANGKAT(Normalisasi!$P$7-Konvergensi!$H$389;2)))</f>
        <v/>
      </c>
      <c r="D406">
        <f>AKAR(JUMLAH(PANGKAT(Normalisasi!$J$7-Konvergensi!$B$390;2);PANGKAT(Normalisasi!$K$7-Konvergensi!$C$390;2);PANGKAT(Normalisasi!$L$7-Konvergensi!$D$390;2);PANGKAT(Normalisasi!$M$7-Konvergensi!$E$390;2);PANGKAT(Normalisasi!$N$7-Konvergensi!$F$390;2);PANGKAT(Normalisasi!$O$7-Konvergensi!$G$390;2);PANGKAT(Normalisasi!$P$7-Konvergensi!$H$390;2)))</f>
        <v/>
      </c>
      <c r="E406">
        <f>AKAR(JUMLAH(PANGKAT(Normalisasi!$J$7-Konvergensi!$B$391;2);PANGKAT(Normalisasi!$K$7-Konvergensi!$C$391;2);PANGKAT(Normalisasi!$L$7-Konvergensi!$D$391;2);PANGKAT(Normalisasi!$M$7-Konvergensi!$E$391;2);PANGKAT(Normalisasi!$N$7-Konvergensi!$F$391;2);PANGKAT(Normalisasi!$O$7-Konvergensi!$G$391;2);PANGKAT(Normalisasi!$P$7-Konvergensi!$H$391;2)))</f>
        <v/>
      </c>
      <c r="F406">
        <f>JIKA(C406&lt;=D406;=JIKA(C406&lt;=E406;0;2);=JIKA(D406&lt;=E406;1;2))</f>
        <v/>
      </c>
      <c r="G406">
        <f>JUMLAH(JIKA(F406=0;JUMLAH(PANGKAT(Normalisasi!$J$7-Konvergensi!$B$454;2);PANGKAT(Normalisasi!$K$7-Konvergensi!$C$454;2);PANGKAT(Normalisasi!$L$7-Konvergensi!$D$454;2);PANGKAT(Normalisasi!$M$7-Konvergensi!$E$454;2);PANGKAT(Normalisasi!$N$7-Konvergensi!$F$454;2);PANGKAT(Normalisasi!$O$7-Konvergensi!$G$454;2);PANGKAT(Normalisasi!$P$7-Konvergensi!$H$454;2));0);JIKA(F406=1;JUMLAH(PANGKAT(Normalisasi!$J$7-Konvergensi!$B$455;2);PANGKAT(Normalisasi!$K$7-Konvergensi!$C$455;2);PANGKAT(Normalisasi!$L$7-Konvergensi!$D$455;2);PANGKAT(Normalisasi!$M$7-Konvergensi!$E$455;2);PANGKAT(Normalisasi!$N$7-Konvergensi!$F$455;2);PANGKAT(Normalisasi!$O$7-Konvergensi!$G$455;2);PANGKAT(Normalisasi!$P$7-Konvergensi!$H$455;2));0);JIKA(F406=2;JUMLAH(PANGKAT(Normalisasi!$J$7-Konvergensi!$B$456;2);PANGKAT(Normalisasi!$K$7-Konvergensi!$C$456;2);PANGKAT(Normalisasi!$L$7-Konvergensi!$D$456;2);PANGKAT(Normalisasi!$M$7-Konvergensi!$E$456;2);PANGKAT(Normalisasi!$N$7-Konvergensi!$F$456;2);PANGKAT(Normalisasi!$O$7-Konvergensi!$G$456;2);PANGKAT(Normalisasi!$P$7-Konvergensi!$H$456;2));0))</f>
        <v/>
      </c>
      <c r="H406" t="n">
        <v>0</v>
      </c>
      <c r="I406" t="n">
        <v>6.7980768116371</v>
      </c>
    </row>
    <row r="407">
      <c r="A407">
        <f>Data_Awal!A8</f>
        <v/>
      </c>
      <c r="B407">
        <f>Data_Awal!B8</f>
        <v/>
      </c>
      <c r="C407">
        <f>AKAR(JUMLAH(PANGKAT(Normalisasi!$J$8-Konvergensi!$B$389;2);PANGKAT(Normalisasi!$K$8-Konvergensi!$C$389;2);PANGKAT(Normalisasi!$L$8-Konvergensi!$D$389;2);PANGKAT(Normalisasi!$M$8-Konvergensi!$E$389;2);PANGKAT(Normalisasi!$N$8-Konvergensi!$F$389;2);PANGKAT(Normalisasi!$O$8-Konvergensi!$G$389;2);PANGKAT(Normalisasi!$P$8-Konvergensi!$H$389;2)))</f>
        <v/>
      </c>
      <c r="D407">
        <f>AKAR(JUMLAH(PANGKAT(Normalisasi!$J$8-Konvergensi!$B$390;2);PANGKAT(Normalisasi!$K$8-Konvergensi!$C$390;2);PANGKAT(Normalisasi!$L$8-Konvergensi!$D$390;2);PANGKAT(Normalisasi!$M$8-Konvergensi!$E$390;2);PANGKAT(Normalisasi!$N$8-Konvergensi!$F$390;2);PANGKAT(Normalisasi!$O$8-Konvergensi!$G$390;2);PANGKAT(Normalisasi!$P$8-Konvergensi!$H$390;2)))</f>
        <v/>
      </c>
      <c r="E407">
        <f>AKAR(JUMLAH(PANGKAT(Normalisasi!$J$8-Konvergensi!$B$391;2);PANGKAT(Normalisasi!$K$8-Konvergensi!$C$391;2);PANGKAT(Normalisasi!$L$8-Konvergensi!$D$391;2);PANGKAT(Normalisasi!$M$8-Konvergensi!$E$391;2);PANGKAT(Normalisasi!$N$8-Konvergensi!$F$391;2);PANGKAT(Normalisasi!$O$8-Konvergensi!$G$391;2);PANGKAT(Normalisasi!$P$8-Konvergensi!$H$391;2)))</f>
        <v/>
      </c>
      <c r="F407">
        <f>JIKA(C407&lt;=D407;=JIKA(C407&lt;=E407;0;2);=JIKA(D407&lt;=E407;1;2))</f>
        <v/>
      </c>
      <c r="G407">
        <f>JUMLAH(JIKA(F407=0;JUMLAH(PANGKAT(Normalisasi!$J$8-Konvergensi!$B$454;2);PANGKAT(Normalisasi!$K$8-Konvergensi!$C$454;2);PANGKAT(Normalisasi!$L$8-Konvergensi!$D$454;2);PANGKAT(Normalisasi!$M$8-Konvergensi!$E$454;2);PANGKAT(Normalisasi!$N$8-Konvergensi!$F$454;2);PANGKAT(Normalisasi!$O$8-Konvergensi!$G$454;2);PANGKAT(Normalisasi!$P$8-Konvergensi!$H$454;2));0);JIKA(F407=1;JUMLAH(PANGKAT(Normalisasi!$J$8-Konvergensi!$B$455;2);PANGKAT(Normalisasi!$K$8-Konvergensi!$C$455;2);PANGKAT(Normalisasi!$L$8-Konvergensi!$D$455;2);PANGKAT(Normalisasi!$M$8-Konvergensi!$E$455;2);PANGKAT(Normalisasi!$N$8-Konvergensi!$F$455;2);PANGKAT(Normalisasi!$O$8-Konvergensi!$G$455;2);PANGKAT(Normalisasi!$P$8-Konvergensi!$H$455;2));0);JIKA(F407=2;JUMLAH(PANGKAT(Normalisasi!$J$8-Konvergensi!$B$456;2);PANGKAT(Normalisasi!$K$8-Konvergensi!$C$456;2);PANGKAT(Normalisasi!$L$8-Konvergensi!$D$456;2);PANGKAT(Normalisasi!$M$8-Konvergensi!$E$456;2);PANGKAT(Normalisasi!$N$8-Konvergensi!$F$456;2);PANGKAT(Normalisasi!$O$8-Konvergensi!$G$456;2);PANGKAT(Normalisasi!$P$8-Konvergensi!$H$456;2));0))</f>
        <v/>
      </c>
      <c r="H407" t="n">
        <v>0</v>
      </c>
      <c r="I407" t="n">
        <v>8.29762037211789</v>
      </c>
    </row>
    <row r="408">
      <c r="A408">
        <f>Data_Awal!A9</f>
        <v/>
      </c>
      <c r="B408">
        <f>Data_Awal!B9</f>
        <v/>
      </c>
      <c r="C408">
        <f>AKAR(JUMLAH(PANGKAT(Normalisasi!$J$9-Konvergensi!$B$389;2);PANGKAT(Normalisasi!$K$9-Konvergensi!$C$389;2);PANGKAT(Normalisasi!$L$9-Konvergensi!$D$389;2);PANGKAT(Normalisasi!$M$9-Konvergensi!$E$389;2);PANGKAT(Normalisasi!$N$9-Konvergensi!$F$389;2);PANGKAT(Normalisasi!$O$9-Konvergensi!$G$389;2);PANGKAT(Normalisasi!$P$9-Konvergensi!$H$389;2)))</f>
        <v/>
      </c>
      <c r="D408">
        <f>AKAR(JUMLAH(PANGKAT(Normalisasi!$J$9-Konvergensi!$B$390;2);PANGKAT(Normalisasi!$K$9-Konvergensi!$C$390;2);PANGKAT(Normalisasi!$L$9-Konvergensi!$D$390;2);PANGKAT(Normalisasi!$M$9-Konvergensi!$E$390;2);PANGKAT(Normalisasi!$N$9-Konvergensi!$F$390;2);PANGKAT(Normalisasi!$O$9-Konvergensi!$G$390;2);PANGKAT(Normalisasi!$P$9-Konvergensi!$H$390;2)))</f>
        <v/>
      </c>
      <c r="E408">
        <f>AKAR(JUMLAH(PANGKAT(Normalisasi!$J$9-Konvergensi!$B$391;2);PANGKAT(Normalisasi!$K$9-Konvergensi!$C$391;2);PANGKAT(Normalisasi!$L$9-Konvergensi!$D$391;2);PANGKAT(Normalisasi!$M$9-Konvergensi!$E$391;2);PANGKAT(Normalisasi!$N$9-Konvergensi!$F$391;2);PANGKAT(Normalisasi!$O$9-Konvergensi!$G$391;2);PANGKAT(Normalisasi!$P$9-Konvergensi!$H$391;2)))</f>
        <v/>
      </c>
      <c r="F408">
        <f>JIKA(C408&lt;=D408;=JIKA(C408&lt;=E408;0;2);=JIKA(D408&lt;=E408;1;2))</f>
        <v/>
      </c>
      <c r="G408">
        <f>JUMLAH(JIKA(F408=0;JUMLAH(PANGKAT(Normalisasi!$J$9-Konvergensi!$B$454;2);PANGKAT(Normalisasi!$K$9-Konvergensi!$C$454;2);PANGKAT(Normalisasi!$L$9-Konvergensi!$D$454;2);PANGKAT(Normalisasi!$M$9-Konvergensi!$E$454;2);PANGKAT(Normalisasi!$N$9-Konvergensi!$F$454;2);PANGKAT(Normalisasi!$O$9-Konvergensi!$G$454;2);PANGKAT(Normalisasi!$P$9-Konvergensi!$H$454;2));0);JIKA(F408=1;JUMLAH(PANGKAT(Normalisasi!$J$9-Konvergensi!$B$455;2);PANGKAT(Normalisasi!$K$9-Konvergensi!$C$455;2);PANGKAT(Normalisasi!$L$9-Konvergensi!$D$455;2);PANGKAT(Normalisasi!$M$9-Konvergensi!$E$455;2);PANGKAT(Normalisasi!$N$9-Konvergensi!$F$455;2);PANGKAT(Normalisasi!$O$9-Konvergensi!$G$455;2);PANGKAT(Normalisasi!$P$9-Konvergensi!$H$455;2));0);JIKA(F408=2;JUMLAH(PANGKAT(Normalisasi!$J$9-Konvergensi!$B$456;2);PANGKAT(Normalisasi!$K$9-Konvergensi!$C$456;2);PANGKAT(Normalisasi!$L$9-Konvergensi!$D$456;2);PANGKAT(Normalisasi!$M$9-Konvergensi!$E$456;2);PANGKAT(Normalisasi!$N$9-Konvergensi!$F$456;2);PANGKAT(Normalisasi!$O$9-Konvergensi!$G$456;2);PANGKAT(Normalisasi!$P$9-Konvergensi!$H$456;2));0))</f>
        <v/>
      </c>
      <c r="H408" t="n">
        <v>1</v>
      </c>
      <c r="I408" t="n">
        <v>7.141395823476353</v>
      </c>
    </row>
    <row r="409">
      <c r="A409">
        <f>Data_Awal!A10</f>
        <v/>
      </c>
      <c r="B409">
        <f>Data_Awal!B10</f>
        <v/>
      </c>
      <c r="C409">
        <f>AKAR(JUMLAH(PANGKAT(Normalisasi!$J$10-Konvergensi!$B$389;2);PANGKAT(Normalisasi!$K$10-Konvergensi!$C$389;2);PANGKAT(Normalisasi!$L$10-Konvergensi!$D$389;2);PANGKAT(Normalisasi!$M$10-Konvergensi!$E$389;2);PANGKAT(Normalisasi!$N$10-Konvergensi!$F$389;2);PANGKAT(Normalisasi!$O$10-Konvergensi!$G$389;2);PANGKAT(Normalisasi!$P$10-Konvergensi!$H$389;2)))</f>
        <v/>
      </c>
      <c r="D409">
        <f>AKAR(JUMLAH(PANGKAT(Normalisasi!$J$10-Konvergensi!$B$390;2);PANGKAT(Normalisasi!$K$10-Konvergensi!$C$390;2);PANGKAT(Normalisasi!$L$10-Konvergensi!$D$390;2);PANGKAT(Normalisasi!$M$10-Konvergensi!$E$390;2);PANGKAT(Normalisasi!$N$10-Konvergensi!$F$390;2);PANGKAT(Normalisasi!$O$10-Konvergensi!$G$390;2);PANGKAT(Normalisasi!$P$10-Konvergensi!$H$390;2)))</f>
        <v/>
      </c>
      <c r="E409">
        <f>AKAR(JUMLAH(PANGKAT(Normalisasi!$J$10-Konvergensi!$B$391;2);PANGKAT(Normalisasi!$K$10-Konvergensi!$C$391;2);PANGKAT(Normalisasi!$L$10-Konvergensi!$D$391;2);PANGKAT(Normalisasi!$M$10-Konvergensi!$E$391;2);PANGKAT(Normalisasi!$N$10-Konvergensi!$F$391;2);PANGKAT(Normalisasi!$O$10-Konvergensi!$G$391;2);PANGKAT(Normalisasi!$P$10-Konvergensi!$H$391;2)))</f>
        <v/>
      </c>
      <c r="F409">
        <f>JIKA(C409&lt;=D409;=JIKA(C409&lt;=E409;0;2);=JIKA(D409&lt;=E409;1;2))</f>
        <v/>
      </c>
      <c r="G409">
        <f>JUMLAH(JIKA(F409=0;JUMLAH(PANGKAT(Normalisasi!$J$10-Konvergensi!$B$454;2);PANGKAT(Normalisasi!$K$10-Konvergensi!$C$454;2);PANGKAT(Normalisasi!$L$10-Konvergensi!$D$454;2);PANGKAT(Normalisasi!$M$10-Konvergensi!$E$454;2);PANGKAT(Normalisasi!$N$10-Konvergensi!$F$454;2);PANGKAT(Normalisasi!$O$10-Konvergensi!$G$454;2);PANGKAT(Normalisasi!$P$10-Konvergensi!$H$454;2));0);JIKA(F409=1;JUMLAH(PANGKAT(Normalisasi!$J$10-Konvergensi!$B$455;2);PANGKAT(Normalisasi!$K$10-Konvergensi!$C$455;2);PANGKAT(Normalisasi!$L$10-Konvergensi!$D$455;2);PANGKAT(Normalisasi!$M$10-Konvergensi!$E$455;2);PANGKAT(Normalisasi!$N$10-Konvergensi!$F$455;2);PANGKAT(Normalisasi!$O$10-Konvergensi!$G$455;2);PANGKAT(Normalisasi!$P$10-Konvergensi!$H$455;2));0);JIKA(F409=2;JUMLAH(PANGKAT(Normalisasi!$J$10-Konvergensi!$B$456;2);PANGKAT(Normalisasi!$K$10-Konvergensi!$C$456;2);PANGKAT(Normalisasi!$L$10-Konvergensi!$D$456;2);PANGKAT(Normalisasi!$M$10-Konvergensi!$E$456;2);PANGKAT(Normalisasi!$N$10-Konvergensi!$F$456;2);PANGKAT(Normalisasi!$O$10-Konvergensi!$G$456;2);PANGKAT(Normalisasi!$P$10-Konvergensi!$H$456;2));0))</f>
        <v/>
      </c>
      <c r="H409" t="n">
        <v>0</v>
      </c>
      <c r="I409" t="n">
        <v>3.822034038532281</v>
      </c>
    </row>
    <row r="410">
      <c r="A410">
        <f>Data_Awal!A11</f>
        <v/>
      </c>
      <c r="B410">
        <f>Data_Awal!B11</f>
        <v/>
      </c>
      <c r="C410">
        <f>AKAR(JUMLAH(PANGKAT(Normalisasi!$J$11-Konvergensi!$B$389;2);PANGKAT(Normalisasi!$K$11-Konvergensi!$C$389;2);PANGKAT(Normalisasi!$L$11-Konvergensi!$D$389;2);PANGKAT(Normalisasi!$M$11-Konvergensi!$E$389;2);PANGKAT(Normalisasi!$N$11-Konvergensi!$F$389;2);PANGKAT(Normalisasi!$O$11-Konvergensi!$G$389;2);PANGKAT(Normalisasi!$P$11-Konvergensi!$H$389;2)))</f>
        <v/>
      </c>
      <c r="D410">
        <f>AKAR(JUMLAH(PANGKAT(Normalisasi!$J$11-Konvergensi!$B$390;2);PANGKAT(Normalisasi!$K$11-Konvergensi!$C$390;2);PANGKAT(Normalisasi!$L$11-Konvergensi!$D$390;2);PANGKAT(Normalisasi!$M$11-Konvergensi!$E$390;2);PANGKAT(Normalisasi!$N$11-Konvergensi!$F$390;2);PANGKAT(Normalisasi!$O$11-Konvergensi!$G$390;2);PANGKAT(Normalisasi!$P$11-Konvergensi!$H$390;2)))</f>
        <v/>
      </c>
      <c r="E410">
        <f>AKAR(JUMLAH(PANGKAT(Normalisasi!$J$11-Konvergensi!$B$391;2);PANGKAT(Normalisasi!$K$11-Konvergensi!$C$391;2);PANGKAT(Normalisasi!$L$11-Konvergensi!$D$391;2);PANGKAT(Normalisasi!$M$11-Konvergensi!$E$391;2);PANGKAT(Normalisasi!$N$11-Konvergensi!$F$391;2);PANGKAT(Normalisasi!$O$11-Konvergensi!$G$391;2);PANGKAT(Normalisasi!$P$11-Konvergensi!$H$391;2)))</f>
        <v/>
      </c>
      <c r="F410">
        <f>JIKA(C410&lt;=D410;=JIKA(C410&lt;=E410;0;2);=JIKA(D410&lt;=E410;1;2))</f>
        <v/>
      </c>
      <c r="G410">
        <f>JUMLAH(JIKA(F410=0;JUMLAH(PANGKAT(Normalisasi!$J$11-Konvergensi!$B$454;2);PANGKAT(Normalisasi!$K$11-Konvergensi!$C$454;2);PANGKAT(Normalisasi!$L$11-Konvergensi!$D$454;2);PANGKAT(Normalisasi!$M$11-Konvergensi!$E$454;2);PANGKAT(Normalisasi!$N$11-Konvergensi!$F$454;2);PANGKAT(Normalisasi!$O$11-Konvergensi!$G$454;2);PANGKAT(Normalisasi!$P$11-Konvergensi!$H$454;2));0);JIKA(F410=1;JUMLAH(PANGKAT(Normalisasi!$J$11-Konvergensi!$B$455;2);PANGKAT(Normalisasi!$K$11-Konvergensi!$C$455;2);PANGKAT(Normalisasi!$L$11-Konvergensi!$D$455;2);PANGKAT(Normalisasi!$M$11-Konvergensi!$E$455;2);PANGKAT(Normalisasi!$N$11-Konvergensi!$F$455;2);PANGKAT(Normalisasi!$O$11-Konvergensi!$G$455;2);PANGKAT(Normalisasi!$P$11-Konvergensi!$H$455;2));0);JIKA(F410=2;JUMLAH(PANGKAT(Normalisasi!$J$11-Konvergensi!$B$456;2);PANGKAT(Normalisasi!$K$11-Konvergensi!$C$456;2);PANGKAT(Normalisasi!$L$11-Konvergensi!$D$456;2);PANGKAT(Normalisasi!$M$11-Konvergensi!$E$456;2);PANGKAT(Normalisasi!$N$11-Konvergensi!$F$456;2);PANGKAT(Normalisasi!$O$11-Konvergensi!$G$456;2);PANGKAT(Normalisasi!$P$11-Konvergensi!$H$456;2));0))</f>
        <v/>
      </c>
      <c r="H410" t="n">
        <v>1</v>
      </c>
      <c r="I410" t="n">
        <v>1.573799215733445</v>
      </c>
    </row>
    <row r="411">
      <c r="A411">
        <f>Data_Awal!A12</f>
        <v/>
      </c>
      <c r="B411">
        <f>Data_Awal!B12</f>
        <v/>
      </c>
      <c r="C411">
        <f>AKAR(JUMLAH(PANGKAT(Normalisasi!$J$12-Konvergensi!$B$389;2);PANGKAT(Normalisasi!$K$12-Konvergensi!$C$389;2);PANGKAT(Normalisasi!$L$12-Konvergensi!$D$389;2);PANGKAT(Normalisasi!$M$12-Konvergensi!$E$389;2);PANGKAT(Normalisasi!$N$12-Konvergensi!$F$389;2);PANGKAT(Normalisasi!$O$12-Konvergensi!$G$389;2);PANGKAT(Normalisasi!$P$12-Konvergensi!$H$389;2)))</f>
        <v/>
      </c>
      <c r="D411">
        <f>AKAR(JUMLAH(PANGKAT(Normalisasi!$J$12-Konvergensi!$B$390;2);PANGKAT(Normalisasi!$K$12-Konvergensi!$C$390;2);PANGKAT(Normalisasi!$L$12-Konvergensi!$D$390;2);PANGKAT(Normalisasi!$M$12-Konvergensi!$E$390;2);PANGKAT(Normalisasi!$N$12-Konvergensi!$F$390;2);PANGKAT(Normalisasi!$O$12-Konvergensi!$G$390;2);PANGKAT(Normalisasi!$P$12-Konvergensi!$H$390;2)))</f>
        <v/>
      </c>
      <c r="E411">
        <f>AKAR(JUMLAH(PANGKAT(Normalisasi!$J$12-Konvergensi!$B$391;2);PANGKAT(Normalisasi!$K$12-Konvergensi!$C$391;2);PANGKAT(Normalisasi!$L$12-Konvergensi!$D$391;2);PANGKAT(Normalisasi!$M$12-Konvergensi!$E$391;2);PANGKAT(Normalisasi!$N$12-Konvergensi!$F$391;2);PANGKAT(Normalisasi!$O$12-Konvergensi!$G$391;2);PANGKAT(Normalisasi!$P$12-Konvergensi!$H$391;2)))</f>
        <v/>
      </c>
      <c r="F411">
        <f>JIKA(C411&lt;=D411;=JIKA(C411&lt;=E411;0;2);=JIKA(D411&lt;=E411;1;2))</f>
        <v/>
      </c>
      <c r="G411">
        <f>JUMLAH(JIKA(F411=0;JUMLAH(PANGKAT(Normalisasi!$J$12-Konvergensi!$B$454;2);PANGKAT(Normalisasi!$K$12-Konvergensi!$C$454;2);PANGKAT(Normalisasi!$L$12-Konvergensi!$D$454;2);PANGKAT(Normalisasi!$M$12-Konvergensi!$E$454;2);PANGKAT(Normalisasi!$N$12-Konvergensi!$F$454;2);PANGKAT(Normalisasi!$O$12-Konvergensi!$G$454;2);PANGKAT(Normalisasi!$P$12-Konvergensi!$H$454;2));0);JIKA(F411=1;JUMLAH(PANGKAT(Normalisasi!$J$12-Konvergensi!$B$455;2);PANGKAT(Normalisasi!$K$12-Konvergensi!$C$455;2);PANGKAT(Normalisasi!$L$12-Konvergensi!$D$455;2);PANGKAT(Normalisasi!$M$12-Konvergensi!$E$455;2);PANGKAT(Normalisasi!$N$12-Konvergensi!$F$455;2);PANGKAT(Normalisasi!$O$12-Konvergensi!$G$455;2);PANGKAT(Normalisasi!$P$12-Konvergensi!$H$455;2));0);JIKA(F411=2;JUMLAH(PANGKAT(Normalisasi!$J$12-Konvergensi!$B$456;2);PANGKAT(Normalisasi!$K$12-Konvergensi!$C$456;2);PANGKAT(Normalisasi!$L$12-Konvergensi!$D$456;2);PANGKAT(Normalisasi!$M$12-Konvergensi!$E$456;2);PANGKAT(Normalisasi!$N$12-Konvergensi!$F$456;2);PANGKAT(Normalisasi!$O$12-Konvergensi!$G$456;2);PANGKAT(Normalisasi!$P$12-Konvergensi!$H$456;2));0))</f>
        <v/>
      </c>
      <c r="H411" t="n">
        <v>1</v>
      </c>
      <c r="I411" t="n">
        <v>7.985927693706085</v>
      </c>
    </row>
    <row r="412">
      <c r="A412">
        <f>Data_Awal!A13</f>
        <v/>
      </c>
      <c r="B412">
        <f>Data_Awal!B13</f>
        <v/>
      </c>
      <c r="C412">
        <f>AKAR(JUMLAH(PANGKAT(Normalisasi!$J$13-Konvergensi!$B$389;2);PANGKAT(Normalisasi!$K$13-Konvergensi!$C$389;2);PANGKAT(Normalisasi!$L$13-Konvergensi!$D$389;2);PANGKAT(Normalisasi!$M$13-Konvergensi!$E$389;2);PANGKAT(Normalisasi!$N$13-Konvergensi!$F$389;2);PANGKAT(Normalisasi!$O$13-Konvergensi!$G$389;2);PANGKAT(Normalisasi!$P$13-Konvergensi!$H$389;2)))</f>
        <v/>
      </c>
      <c r="D412">
        <f>AKAR(JUMLAH(PANGKAT(Normalisasi!$J$13-Konvergensi!$B$390;2);PANGKAT(Normalisasi!$K$13-Konvergensi!$C$390;2);PANGKAT(Normalisasi!$L$13-Konvergensi!$D$390;2);PANGKAT(Normalisasi!$M$13-Konvergensi!$E$390;2);PANGKAT(Normalisasi!$N$13-Konvergensi!$F$390;2);PANGKAT(Normalisasi!$O$13-Konvergensi!$G$390;2);PANGKAT(Normalisasi!$P$13-Konvergensi!$H$390;2)))</f>
        <v/>
      </c>
      <c r="E412">
        <f>AKAR(JUMLAH(PANGKAT(Normalisasi!$J$13-Konvergensi!$B$391;2);PANGKAT(Normalisasi!$K$13-Konvergensi!$C$391;2);PANGKAT(Normalisasi!$L$13-Konvergensi!$D$391;2);PANGKAT(Normalisasi!$M$13-Konvergensi!$E$391;2);PANGKAT(Normalisasi!$N$13-Konvergensi!$F$391;2);PANGKAT(Normalisasi!$O$13-Konvergensi!$G$391;2);PANGKAT(Normalisasi!$P$13-Konvergensi!$H$391;2)))</f>
        <v/>
      </c>
      <c r="F412">
        <f>JIKA(C412&lt;=D412;=JIKA(C412&lt;=E412;0;2);=JIKA(D412&lt;=E412;1;2))</f>
        <v/>
      </c>
      <c r="G412">
        <f>JUMLAH(JIKA(F412=0;JUMLAH(PANGKAT(Normalisasi!$J$13-Konvergensi!$B$454;2);PANGKAT(Normalisasi!$K$13-Konvergensi!$C$454;2);PANGKAT(Normalisasi!$L$13-Konvergensi!$D$454;2);PANGKAT(Normalisasi!$M$13-Konvergensi!$E$454;2);PANGKAT(Normalisasi!$N$13-Konvergensi!$F$454;2);PANGKAT(Normalisasi!$O$13-Konvergensi!$G$454;2);PANGKAT(Normalisasi!$P$13-Konvergensi!$H$454;2));0);JIKA(F412=1;JUMLAH(PANGKAT(Normalisasi!$J$13-Konvergensi!$B$455;2);PANGKAT(Normalisasi!$K$13-Konvergensi!$C$455;2);PANGKAT(Normalisasi!$L$13-Konvergensi!$D$455;2);PANGKAT(Normalisasi!$M$13-Konvergensi!$E$455;2);PANGKAT(Normalisasi!$N$13-Konvergensi!$F$455;2);PANGKAT(Normalisasi!$O$13-Konvergensi!$G$455;2);PANGKAT(Normalisasi!$P$13-Konvergensi!$H$455;2));0);JIKA(F412=2;JUMLAH(PANGKAT(Normalisasi!$J$13-Konvergensi!$B$456;2);PANGKAT(Normalisasi!$K$13-Konvergensi!$C$456;2);PANGKAT(Normalisasi!$L$13-Konvergensi!$D$456;2);PANGKAT(Normalisasi!$M$13-Konvergensi!$E$456;2);PANGKAT(Normalisasi!$N$13-Konvergensi!$F$456;2);PANGKAT(Normalisasi!$O$13-Konvergensi!$G$456;2);PANGKAT(Normalisasi!$P$13-Konvergensi!$H$456;2));0))</f>
        <v/>
      </c>
      <c r="H412" t="n">
        <v>1</v>
      </c>
      <c r="I412" t="n">
        <v>7.177787267379674</v>
      </c>
    </row>
    <row r="413">
      <c r="A413">
        <f>Data_Awal!A14</f>
        <v/>
      </c>
      <c r="B413">
        <f>Data_Awal!B14</f>
        <v/>
      </c>
      <c r="C413">
        <f>AKAR(JUMLAH(PANGKAT(Normalisasi!$J$14-Konvergensi!$B$389;2);PANGKAT(Normalisasi!$K$14-Konvergensi!$C$389;2);PANGKAT(Normalisasi!$L$14-Konvergensi!$D$389;2);PANGKAT(Normalisasi!$M$14-Konvergensi!$E$389;2);PANGKAT(Normalisasi!$N$14-Konvergensi!$F$389;2);PANGKAT(Normalisasi!$O$14-Konvergensi!$G$389;2);PANGKAT(Normalisasi!$P$14-Konvergensi!$H$389;2)))</f>
        <v/>
      </c>
      <c r="D413">
        <f>AKAR(JUMLAH(PANGKAT(Normalisasi!$J$14-Konvergensi!$B$390;2);PANGKAT(Normalisasi!$K$14-Konvergensi!$C$390;2);PANGKAT(Normalisasi!$L$14-Konvergensi!$D$390;2);PANGKAT(Normalisasi!$M$14-Konvergensi!$E$390;2);PANGKAT(Normalisasi!$N$14-Konvergensi!$F$390;2);PANGKAT(Normalisasi!$O$14-Konvergensi!$G$390;2);PANGKAT(Normalisasi!$P$14-Konvergensi!$H$390;2)))</f>
        <v/>
      </c>
      <c r="E413">
        <f>AKAR(JUMLAH(PANGKAT(Normalisasi!$J$14-Konvergensi!$B$391;2);PANGKAT(Normalisasi!$K$14-Konvergensi!$C$391;2);PANGKAT(Normalisasi!$L$14-Konvergensi!$D$391;2);PANGKAT(Normalisasi!$M$14-Konvergensi!$E$391;2);PANGKAT(Normalisasi!$N$14-Konvergensi!$F$391;2);PANGKAT(Normalisasi!$O$14-Konvergensi!$G$391;2);PANGKAT(Normalisasi!$P$14-Konvergensi!$H$391;2)))</f>
        <v/>
      </c>
      <c r="F413">
        <f>JIKA(C413&lt;=D413;=JIKA(C413&lt;=E413;0;2);=JIKA(D413&lt;=E413;1;2))</f>
        <v/>
      </c>
      <c r="G413">
        <f>JUMLAH(JIKA(F413=0;JUMLAH(PANGKAT(Normalisasi!$J$14-Konvergensi!$B$454;2);PANGKAT(Normalisasi!$K$14-Konvergensi!$C$454;2);PANGKAT(Normalisasi!$L$14-Konvergensi!$D$454;2);PANGKAT(Normalisasi!$M$14-Konvergensi!$E$454;2);PANGKAT(Normalisasi!$N$14-Konvergensi!$F$454;2);PANGKAT(Normalisasi!$O$14-Konvergensi!$G$454;2);PANGKAT(Normalisasi!$P$14-Konvergensi!$H$454;2));0);JIKA(F413=1;JUMLAH(PANGKAT(Normalisasi!$J$14-Konvergensi!$B$455;2);PANGKAT(Normalisasi!$K$14-Konvergensi!$C$455;2);PANGKAT(Normalisasi!$L$14-Konvergensi!$D$455;2);PANGKAT(Normalisasi!$M$14-Konvergensi!$E$455;2);PANGKAT(Normalisasi!$N$14-Konvergensi!$F$455;2);PANGKAT(Normalisasi!$O$14-Konvergensi!$G$455;2);PANGKAT(Normalisasi!$P$14-Konvergensi!$H$455;2));0);JIKA(F413=2;JUMLAH(PANGKAT(Normalisasi!$J$14-Konvergensi!$B$456;2);PANGKAT(Normalisasi!$K$14-Konvergensi!$C$456;2);PANGKAT(Normalisasi!$L$14-Konvergensi!$D$456;2);PANGKAT(Normalisasi!$M$14-Konvergensi!$E$456;2);PANGKAT(Normalisasi!$N$14-Konvergensi!$F$456;2);PANGKAT(Normalisasi!$O$14-Konvergensi!$G$456;2);PANGKAT(Normalisasi!$P$14-Konvergensi!$H$456;2));0))</f>
        <v/>
      </c>
      <c r="H413" t="n">
        <v>2</v>
      </c>
      <c r="I413" t="n">
        <v>3.553100995262605</v>
      </c>
    </row>
    <row r="414">
      <c r="A414">
        <f>Data_Awal!A15</f>
        <v/>
      </c>
      <c r="B414">
        <f>Data_Awal!B15</f>
        <v/>
      </c>
      <c r="C414">
        <f>AKAR(JUMLAH(PANGKAT(Normalisasi!$J$15-Konvergensi!$B$389;2);PANGKAT(Normalisasi!$K$15-Konvergensi!$C$389;2);PANGKAT(Normalisasi!$L$15-Konvergensi!$D$389;2);PANGKAT(Normalisasi!$M$15-Konvergensi!$E$389;2);PANGKAT(Normalisasi!$N$15-Konvergensi!$F$389;2);PANGKAT(Normalisasi!$O$15-Konvergensi!$G$389;2);PANGKAT(Normalisasi!$P$15-Konvergensi!$H$389;2)))</f>
        <v/>
      </c>
      <c r="D414">
        <f>AKAR(JUMLAH(PANGKAT(Normalisasi!$J$15-Konvergensi!$B$390;2);PANGKAT(Normalisasi!$K$15-Konvergensi!$C$390;2);PANGKAT(Normalisasi!$L$15-Konvergensi!$D$390;2);PANGKAT(Normalisasi!$M$15-Konvergensi!$E$390;2);PANGKAT(Normalisasi!$N$15-Konvergensi!$F$390;2);PANGKAT(Normalisasi!$O$15-Konvergensi!$G$390;2);PANGKAT(Normalisasi!$P$15-Konvergensi!$H$390;2)))</f>
        <v/>
      </c>
      <c r="E414">
        <f>AKAR(JUMLAH(PANGKAT(Normalisasi!$J$15-Konvergensi!$B$391;2);PANGKAT(Normalisasi!$K$15-Konvergensi!$C$391;2);PANGKAT(Normalisasi!$L$15-Konvergensi!$D$391;2);PANGKAT(Normalisasi!$M$15-Konvergensi!$E$391;2);PANGKAT(Normalisasi!$N$15-Konvergensi!$F$391;2);PANGKAT(Normalisasi!$O$15-Konvergensi!$G$391;2);PANGKAT(Normalisasi!$P$15-Konvergensi!$H$391;2)))</f>
        <v/>
      </c>
      <c r="F414">
        <f>JIKA(C414&lt;=D414;=JIKA(C414&lt;=E414;0;2);=JIKA(D414&lt;=E414;1;2))</f>
        <v/>
      </c>
      <c r="G414">
        <f>JUMLAH(JIKA(F414=0;JUMLAH(PANGKAT(Normalisasi!$J$15-Konvergensi!$B$454;2);PANGKAT(Normalisasi!$K$15-Konvergensi!$C$454;2);PANGKAT(Normalisasi!$L$15-Konvergensi!$D$454;2);PANGKAT(Normalisasi!$M$15-Konvergensi!$E$454;2);PANGKAT(Normalisasi!$N$15-Konvergensi!$F$454;2);PANGKAT(Normalisasi!$O$15-Konvergensi!$G$454;2);PANGKAT(Normalisasi!$P$15-Konvergensi!$H$454;2));0);JIKA(F414=1;JUMLAH(PANGKAT(Normalisasi!$J$15-Konvergensi!$B$455;2);PANGKAT(Normalisasi!$K$15-Konvergensi!$C$455;2);PANGKAT(Normalisasi!$L$15-Konvergensi!$D$455;2);PANGKAT(Normalisasi!$M$15-Konvergensi!$E$455;2);PANGKAT(Normalisasi!$N$15-Konvergensi!$F$455;2);PANGKAT(Normalisasi!$O$15-Konvergensi!$G$455;2);PANGKAT(Normalisasi!$P$15-Konvergensi!$H$455;2));0);JIKA(F414=2;JUMLAH(PANGKAT(Normalisasi!$J$15-Konvergensi!$B$456;2);PANGKAT(Normalisasi!$K$15-Konvergensi!$C$456;2);PANGKAT(Normalisasi!$L$15-Konvergensi!$D$456;2);PANGKAT(Normalisasi!$M$15-Konvergensi!$E$456;2);PANGKAT(Normalisasi!$N$15-Konvergensi!$F$456;2);PANGKAT(Normalisasi!$O$15-Konvergensi!$G$456;2);PANGKAT(Normalisasi!$P$15-Konvergensi!$H$456;2));0))</f>
        <v/>
      </c>
      <c r="H414" t="n">
        <v>0</v>
      </c>
      <c r="I414" t="n">
        <v>3.242836720970336</v>
      </c>
    </row>
    <row r="415">
      <c r="A415">
        <f>Data_Awal!A16</f>
        <v/>
      </c>
      <c r="B415">
        <f>Data_Awal!B16</f>
        <v/>
      </c>
      <c r="C415">
        <f>AKAR(JUMLAH(PANGKAT(Normalisasi!$J$16-Konvergensi!$B$389;2);PANGKAT(Normalisasi!$K$16-Konvergensi!$C$389;2);PANGKAT(Normalisasi!$L$16-Konvergensi!$D$389;2);PANGKAT(Normalisasi!$M$16-Konvergensi!$E$389;2);PANGKAT(Normalisasi!$N$16-Konvergensi!$F$389;2);PANGKAT(Normalisasi!$O$16-Konvergensi!$G$389;2);PANGKAT(Normalisasi!$P$16-Konvergensi!$H$389;2)))</f>
        <v/>
      </c>
      <c r="D415">
        <f>AKAR(JUMLAH(PANGKAT(Normalisasi!$J$16-Konvergensi!$B$390;2);PANGKAT(Normalisasi!$K$16-Konvergensi!$C$390;2);PANGKAT(Normalisasi!$L$16-Konvergensi!$D$390;2);PANGKAT(Normalisasi!$M$16-Konvergensi!$E$390;2);PANGKAT(Normalisasi!$N$16-Konvergensi!$F$390;2);PANGKAT(Normalisasi!$O$16-Konvergensi!$G$390;2);PANGKAT(Normalisasi!$P$16-Konvergensi!$H$390;2)))</f>
        <v/>
      </c>
      <c r="E415">
        <f>AKAR(JUMLAH(PANGKAT(Normalisasi!$J$16-Konvergensi!$B$391;2);PANGKAT(Normalisasi!$K$16-Konvergensi!$C$391;2);PANGKAT(Normalisasi!$L$16-Konvergensi!$D$391;2);PANGKAT(Normalisasi!$M$16-Konvergensi!$E$391;2);PANGKAT(Normalisasi!$N$16-Konvergensi!$F$391;2);PANGKAT(Normalisasi!$O$16-Konvergensi!$G$391;2);PANGKAT(Normalisasi!$P$16-Konvergensi!$H$391;2)))</f>
        <v/>
      </c>
      <c r="F415">
        <f>JIKA(C415&lt;=D415;=JIKA(C415&lt;=E415;0;2);=JIKA(D415&lt;=E415;1;2))</f>
        <v/>
      </c>
      <c r="G415">
        <f>JUMLAH(JIKA(F415=0;JUMLAH(PANGKAT(Normalisasi!$J$16-Konvergensi!$B$454;2);PANGKAT(Normalisasi!$K$16-Konvergensi!$C$454;2);PANGKAT(Normalisasi!$L$16-Konvergensi!$D$454;2);PANGKAT(Normalisasi!$M$16-Konvergensi!$E$454;2);PANGKAT(Normalisasi!$N$16-Konvergensi!$F$454;2);PANGKAT(Normalisasi!$O$16-Konvergensi!$G$454;2);PANGKAT(Normalisasi!$P$16-Konvergensi!$H$454;2));0);JIKA(F415=1;JUMLAH(PANGKAT(Normalisasi!$J$16-Konvergensi!$B$455;2);PANGKAT(Normalisasi!$K$16-Konvergensi!$C$455;2);PANGKAT(Normalisasi!$L$16-Konvergensi!$D$455;2);PANGKAT(Normalisasi!$M$16-Konvergensi!$E$455;2);PANGKAT(Normalisasi!$N$16-Konvergensi!$F$455;2);PANGKAT(Normalisasi!$O$16-Konvergensi!$G$455;2);PANGKAT(Normalisasi!$P$16-Konvergensi!$H$455;2));0);JIKA(F415=2;JUMLAH(PANGKAT(Normalisasi!$J$16-Konvergensi!$B$456;2);PANGKAT(Normalisasi!$K$16-Konvergensi!$C$456;2);PANGKAT(Normalisasi!$L$16-Konvergensi!$D$456;2);PANGKAT(Normalisasi!$M$16-Konvergensi!$E$456;2);PANGKAT(Normalisasi!$N$16-Konvergensi!$F$456;2);PANGKAT(Normalisasi!$O$16-Konvergensi!$G$456;2);PANGKAT(Normalisasi!$P$16-Konvergensi!$H$456;2));0))</f>
        <v/>
      </c>
      <c r="H415" t="n">
        <v>1</v>
      </c>
      <c r="I415" t="n">
        <v>7.366768957039133</v>
      </c>
    </row>
    <row r="416">
      <c r="A416">
        <f>Data_Awal!A17</f>
        <v/>
      </c>
      <c r="B416">
        <f>Data_Awal!B17</f>
        <v/>
      </c>
      <c r="C416">
        <f>AKAR(JUMLAH(PANGKAT(Normalisasi!$J$17-Konvergensi!$B$389;2);PANGKAT(Normalisasi!$K$17-Konvergensi!$C$389;2);PANGKAT(Normalisasi!$L$17-Konvergensi!$D$389;2);PANGKAT(Normalisasi!$M$17-Konvergensi!$E$389;2);PANGKAT(Normalisasi!$N$17-Konvergensi!$F$389;2);PANGKAT(Normalisasi!$O$17-Konvergensi!$G$389;2);PANGKAT(Normalisasi!$P$17-Konvergensi!$H$389;2)))</f>
        <v/>
      </c>
      <c r="D416">
        <f>AKAR(JUMLAH(PANGKAT(Normalisasi!$J$17-Konvergensi!$B$390;2);PANGKAT(Normalisasi!$K$17-Konvergensi!$C$390;2);PANGKAT(Normalisasi!$L$17-Konvergensi!$D$390;2);PANGKAT(Normalisasi!$M$17-Konvergensi!$E$390;2);PANGKAT(Normalisasi!$N$17-Konvergensi!$F$390;2);PANGKAT(Normalisasi!$O$17-Konvergensi!$G$390;2);PANGKAT(Normalisasi!$P$17-Konvergensi!$H$390;2)))</f>
        <v/>
      </c>
      <c r="E416">
        <f>AKAR(JUMLAH(PANGKAT(Normalisasi!$J$17-Konvergensi!$B$391;2);PANGKAT(Normalisasi!$K$17-Konvergensi!$C$391;2);PANGKAT(Normalisasi!$L$17-Konvergensi!$D$391;2);PANGKAT(Normalisasi!$M$17-Konvergensi!$E$391;2);PANGKAT(Normalisasi!$N$17-Konvergensi!$F$391;2);PANGKAT(Normalisasi!$O$17-Konvergensi!$G$391;2);PANGKAT(Normalisasi!$P$17-Konvergensi!$H$391;2)))</f>
        <v/>
      </c>
      <c r="F416">
        <f>JIKA(C416&lt;=D416;=JIKA(C416&lt;=E416;0;2);=JIKA(D416&lt;=E416;1;2))</f>
        <v/>
      </c>
      <c r="G416">
        <f>JUMLAH(JIKA(F416=0;JUMLAH(PANGKAT(Normalisasi!$J$17-Konvergensi!$B$454;2);PANGKAT(Normalisasi!$K$17-Konvergensi!$C$454;2);PANGKAT(Normalisasi!$L$17-Konvergensi!$D$454;2);PANGKAT(Normalisasi!$M$17-Konvergensi!$E$454;2);PANGKAT(Normalisasi!$N$17-Konvergensi!$F$454;2);PANGKAT(Normalisasi!$O$17-Konvergensi!$G$454;2);PANGKAT(Normalisasi!$P$17-Konvergensi!$H$454;2));0);JIKA(F416=1;JUMLAH(PANGKAT(Normalisasi!$J$17-Konvergensi!$B$455;2);PANGKAT(Normalisasi!$K$17-Konvergensi!$C$455;2);PANGKAT(Normalisasi!$L$17-Konvergensi!$D$455;2);PANGKAT(Normalisasi!$M$17-Konvergensi!$E$455;2);PANGKAT(Normalisasi!$N$17-Konvergensi!$F$455;2);PANGKAT(Normalisasi!$O$17-Konvergensi!$G$455;2);PANGKAT(Normalisasi!$P$17-Konvergensi!$H$455;2));0);JIKA(F416=2;JUMLAH(PANGKAT(Normalisasi!$J$17-Konvergensi!$B$456;2);PANGKAT(Normalisasi!$K$17-Konvergensi!$C$456;2);PANGKAT(Normalisasi!$L$17-Konvergensi!$D$456;2);PANGKAT(Normalisasi!$M$17-Konvergensi!$E$456;2);PANGKAT(Normalisasi!$N$17-Konvergensi!$F$456;2);PANGKAT(Normalisasi!$O$17-Konvergensi!$G$456;2);PANGKAT(Normalisasi!$P$17-Konvergensi!$H$456;2));0))</f>
        <v/>
      </c>
      <c r="H416" t="n">
        <v>1</v>
      </c>
      <c r="I416" t="n">
        <v>3.761388872614771</v>
      </c>
    </row>
    <row r="417">
      <c r="A417">
        <f>Data_Awal!A18</f>
        <v/>
      </c>
      <c r="B417">
        <f>Data_Awal!B18</f>
        <v/>
      </c>
      <c r="C417">
        <f>AKAR(JUMLAH(PANGKAT(Normalisasi!$J$18-Konvergensi!$B$389;2);PANGKAT(Normalisasi!$K$18-Konvergensi!$C$389;2);PANGKAT(Normalisasi!$L$18-Konvergensi!$D$389;2);PANGKAT(Normalisasi!$M$18-Konvergensi!$E$389;2);PANGKAT(Normalisasi!$N$18-Konvergensi!$F$389;2);PANGKAT(Normalisasi!$O$18-Konvergensi!$G$389;2);PANGKAT(Normalisasi!$P$18-Konvergensi!$H$389;2)))</f>
        <v/>
      </c>
      <c r="D417">
        <f>AKAR(JUMLAH(PANGKAT(Normalisasi!$J$18-Konvergensi!$B$390;2);PANGKAT(Normalisasi!$K$18-Konvergensi!$C$390;2);PANGKAT(Normalisasi!$L$18-Konvergensi!$D$390;2);PANGKAT(Normalisasi!$M$18-Konvergensi!$E$390;2);PANGKAT(Normalisasi!$N$18-Konvergensi!$F$390;2);PANGKAT(Normalisasi!$O$18-Konvergensi!$G$390;2);PANGKAT(Normalisasi!$P$18-Konvergensi!$H$390;2)))</f>
        <v/>
      </c>
      <c r="E417">
        <f>AKAR(JUMLAH(PANGKAT(Normalisasi!$J$18-Konvergensi!$B$391;2);PANGKAT(Normalisasi!$K$18-Konvergensi!$C$391;2);PANGKAT(Normalisasi!$L$18-Konvergensi!$D$391;2);PANGKAT(Normalisasi!$M$18-Konvergensi!$E$391;2);PANGKAT(Normalisasi!$N$18-Konvergensi!$F$391;2);PANGKAT(Normalisasi!$O$18-Konvergensi!$G$391;2);PANGKAT(Normalisasi!$P$18-Konvergensi!$H$391;2)))</f>
        <v/>
      </c>
      <c r="F417">
        <f>JIKA(C417&lt;=D417;=JIKA(C417&lt;=E417;0;2);=JIKA(D417&lt;=E417;1;2))</f>
        <v/>
      </c>
      <c r="G417">
        <f>JUMLAH(JIKA(F417=0;JUMLAH(PANGKAT(Normalisasi!$J$18-Konvergensi!$B$454;2);PANGKAT(Normalisasi!$K$18-Konvergensi!$C$454;2);PANGKAT(Normalisasi!$L$18-Konvergensi!$D$454;2);PANGKAT(Normalisasi!$M$18-Konvergensi!$E$454;2);PANGKAT(Normalisasi!$N$18-Konvergensi!$F$454;2);PANGKAT(Normalisasi!$O$18-Konvergensi!$G$454;2);PANGKAT(Normalisasi!$P$18-Konvergensi!$H$454;2));0);JIKA(F417=1;JUMLAH(PANGKAT(Normalisasi!$J$18-Konvergensi!$B$455;2);PANGKAT(Normalisasi!$K$18-Konvergensi!$C$455;2);PANGKAT(Normalisasi!$L$18-Konvergensi!$D$455;2);PANGKAT(Normalisasi!$M$18-Konvergensi!$E$455;2);PANGKAT(Normalisasi!$N$18-Konvergensi!$F$455;2);PANGKAT(Normalisasi!$O$18-Konvergensi!$G$455;2);PANGKAT(Normalisasi!$P$18-Konvergensi!$H$455;2));0);JIKA(F417=2;JUMLAH(PANGKAT(Normalisasi!$J$18-Konvergensi!$B$456;2);PANGKAT(Normalisasi!$K$18-Konvergensi!$C$456;2);PANGKAT(Normalisasi!$L$18-Konvergensi!$D$456;2);PANGKAT(Normalisasi!$M$18-Konvergensi!$E$456;2);PANGKAT(Normalisasi!$N$18-Konvergensi!$F$456;2);PANGKAT(Normalisasi!$O$18-Konvergensi!$G$456;2);PANGKAT(Normalisasi!$P$18-Konvergensi!$H$456;2));0))</f>
        <v/>
      </c>
      <c r="H417" t="n">
        <v>0</v>
      </c>
      <c r="I417" t="n">
        <v>6.617479064723246</v>
      </c>
    </row>
    <row r="418">
      <c r="A418">
        <f>Data_Awal!A19</f>
        <v/>
      </c>
      <c r="B418">
        <f>Data_Awal!B19</f>
        <v/>
      </c>
      <c r="C418">
        <f>AKAR(JUMLAH(PANGKAT(Normalisasi!$J$19-Konvergensi!$B$389;2);PANGKAT(Normalisasi!$K$19-Konvergensi!$C$389;2);PANGKAT(Normalisasi!$L$19-Konvergensi!$D$389;2);PANGKAT(Normalisasi!$M$19-Konvergensi!$E$389;2);PANGKAT(Normalisasi!$N$19-Konvergensi!$F$389;2);PANGKAT(Normalisasi!$O$19-Konvergensi!$G$389;2);PANGKAT(Normalisasi!$P$19-Konvergensi!$H$389;2)))</f>
        <v/>
      </c>
      <c r="D418">
        <f>AKAR(JUMLAH(PANGKAT(Normalisasi!$J$19-Konvergensi!$B$390;2);PANGKAT(Normalisasi!$K$19-Konvergensi!$C$390;2);PANGKAT(Normalisasi!$L$19-Konvergensi!$D$390;2);PANGKAT(Normalisasi!$M$19-Konvergensi!$E$390;2);PANGKAT(Normalisasi!$N$19-Konvergensi!$F$390;2);PANGKAT(Normalisasi!$O$19-Konvergensi!$G$390;2);PANGKAT(Normalisasi!$P$19-Konvergensi!$H$390;2)))</f>
        <v/>
      </c>
      <c r="E418">
        <f>AKAR(JUMLAH(PANGKAT(Normalisasi!$J$19-Konvergensi!$B$391;2);PANGKAT(Normalisasi!$K$19-Konvergensi!$C$391;2);PANGKAT(Normalisasi!$L$19-Konvergensi!$D$391;2);PANGKAT(Normalisasi!$M$19-Konvergensi!$E$391;2);PANGKAT(Normalisasi!$N$19-Konvergensi!$F$391;2);PANGKAT(Normalisasi!$O$19-Konvergensi!$G$391;2);PANGKAT(Normalisasi!$P$19-Konvergensi!$H$391;2)))</f>
        <v/>
      </c>
      <c r="F418">
        <f>JIKA(C418&lt;=D418;=JIKA(C418&lt;=E418;0;2);=JIKA(D418&lt;=E418;1;2))</f>
        <v/>
      </c>
      <c r="G418">
        <f>JUMLAH(JIKA(F418=0;JUMLAH(PANGKAT(Normalisasi!$J$19-Konvergensi!$B$454;2);PANGKAT(Normalisasi!$K$19-Konvergensi!$C$454;2);PANGKAT(Normalisasi!$L$19-Konvergensi!$D$454;2);PANGKAT(Normalisasi!$M$19-Konvergensi!$E$454;2);PANGKAT(Normalisasi!$N$19-Konvergensi!$F$454;2);PANGKAT(Normalisasi!$O$19-Konvergensi!$G$454;2);PANGKAT(Normalisasi!$P$19-Konvergensi!$H$454;2));0);JIKA(F418=1;JUMLAH(PANGKAT(Normalisasi!$J$19-Konvergensi!$B$455;2);PANGKAT(Normalisasi!$K$19-Konvergensi!$C$455;2);PANGKAT(Normalisasi!$L$19-Konvergensi!$D$455;2);PANGKAT(Normalisasi!$M$19-Konvergensi!$E$455;2);PANGKAT(Normalisasi!$N$19-Konvergensi!$F$455;2);PANGKAT(Normalisasi!$O$19-Konvergensi!$G$455;2);PANGKAT(Normalisasi!$P$19-Konvergensi!$H$455;2));0);JIKA(F418=2;JUMLAH(PANGKAT(Normalisasi!$J$19-Konvergensi!$B$456;2);PANGKAT(Normalisasi!$K$19-Konvergensi!$C$456;2);PANGKAT(Normalisasi!$L$19-Konvergensi!$D$456;2);PANGKAT(Normalisasi!$M$19-Konvergensi!$E$456;2);PANGKAT(Normalisasi!$N$19-Konvergensi!$F$456;2);PANGKAT(Normalisasi!$O$19-Konvergensi!$G$456;2);PANGKAT(Normalisasi!$P$19-Konvergensi!$H$456;2));0))</f>
        <v/>
      </c>
      <c r="H418" t="n">
        <v>0</v>
      </c>
      <c r="I418" t="n">
        <v>1.977765549569401</v>
      </c>
    </row>
    <row r="419">
      <c r="A419">
        <f>Data_Awal!A20</f>
        <v/>
      </c>
      <c r="B419">
        <f>Data_Awal!B20</f>
        <v/>
      </c>
      <c r="C419">
        <f>AKAR(JUMLAH(PANGKAT(Normalisasi!$J$20-Konvergensi!$B$389;2);PANGKAT(Normalisasi!$K$20-Konvergensi!$C$389;2);PANGKAT(Normalisasi!$L$20-Konvergensi!$D$389;2);PANGKAT(Normalisasi!$M$20-Konvergensi!$E$389;2);PANGKAT(Normalisasi!$N$20-Konvergensi!$F$389;2);PANGKAT(Normalisasi!$O$20-Konvergensi!$G$389;2);PANGKAT(Normalisasi!$P$20-Konvergensi!$H$389;2)))</f>
        <v/>
      </c>
      <c r="D419">
        <f>AKAR(JUMLAH(PANGKAT(Normalisasi!$J$20-Konvergensi!$B$390;2);PANGKAT(Normalisasi!$K$20-Konvergensi!$C$390;2);PANGKAT(Normalisasi!$L$20-Konvergensi!$D$390;2);PANGKAT(Normalisasi!$M$20-Konvergensi!$E$390;2);PANGKAT(Normalisasi!$N$20-Konvergensi!$F$390;2);PANGKAT(Normalisasi!$O$20-Konvergensi!$G$390;2);PANGKAT(Normalisasi!$P$20-Konvergensi!$H$390;2)))</f>
        <v/>
      </c>
      <c r="E419">
        <f>AKAR(JUMLAH(PANGKAT(Normalisasi!$J$20-Konvergensi!$B$391;2);PANGKAT(Normalisasi!$K$20-Konvergensi!$C$391;2);PANGKAT(Normalisasi!$L$20-Konvergensi!$D$391;2);PANGKAT(Normalisasi!$M$20-Konvergensi!$E$391;2);PANGKAT(Normalisasi!$N$20-Konvergensi!$F$391;2);PANGKAT(Normalisasi!$O$20-Konvergensi!$G$391;2);PANGKAT(Normalisasi!$P$20-Konvergensi!$H$391;2)))</f>
        <v/>
      </c>
      <c r="F419">
        <f>JIKA(C419&lt;=D419;=JIKA(C419&lt;=E419;0;2);=JIKA(D419&lt;=E419;1;2))</f>
        <v/>
      </c>
      <c r="G419">
        <f>JUMLAH(JIKA(F419=0;JUMLAH(PANGKAT(Normalisasi!$J$20-Konvergensi!$B$454;2);PANGKAT(Normalisasi!$K$20-Konvergensi!$C$454;2);PANGKAT(Normalisasi!$L$20-Konvergensi!$D$454;2);PANGKAT(Normalisasi!$M$20-Konvergensi!$E$454;2);PANGKAT(Normalisasi!$N$20-Konvergensi!$F$454;2);PANGKAT(Normalisasi!$O$20-Konvergensi!$G$454;2);PANGKAT(Normalisasi!$P$20-Konvergensi!$H$454;2));0);JIKA(F419=1;JUMLAH(PANGKAT(Normalisasi!$J$20-Konvergensi!$B$455;2);PANGKAT(Normalisasi!$K$20-Konvergensi!$C$455;2);PANGKAT(Normalisasi!$L$20-Konvergensi!$D$455;2);PANGKAT(Normalisasi!$M$20-Konvergensi!$E$455;2);PANGKAT(Normalisasi!$N$20-Konvergensi!$F$455;2);PANGKAT(Normalisasi!$O$20-Konvergensi!$G$455;2);PANGKAT(Normalisasi!$P$20-Konvergensi!$H$455;2));0);JIKA(F419=2;JUMLAH(PANGKAT(Normalisasi!$J$20-Konvergensi!$B$456;2);PANGKAT(Normalisasi!$K$20-Konvergensi!$C$456;2);PANGKAT(Normalisasi!$L$20-Konvergensi!$D$456;2);PANGKAT(Normalisasi!$M$20-Konvergensi!$E$456;2);PANGKAT(Normalisasi!$N$20-Konvergensi!$F$456;2);PANGKAT(Normalisasi!$O$20-Konvergensi!$G$456;2);PANGKAT(Normalisasi!$P$20-Konvergensi!$H$456;2));0))</f>
        <v/>
      </c>
      <c r="H419" t="n">
        <v>0</v>
      </c>
      <c r="I419" t="n">
        <v>5.285805367351812</v>
      </c>
    </row>
    <row r="420">
      <c r="A420">
        <f>Data_Awal!A21</f>
        <v/>
      </c>
      <c r="B420">
        <f>Data_Awal!B21</f>
        <v/>
      </c>
      <c r="C420">
        <f>AKAR(JUMLAH(PANGKAT(Normalisasi!$J$21-Konvergensi!$B$389;2);PANGKAT(Normalisasi!$K$21-Konvergensi!$C$389;2);PANGKAT(Normalisasi!$L$21-Konvergensi!$D$389;2);PANGKAT(Normalisasi!$M$21-Konvergensi!$E$389;2);PANGKAT(Normalisasi!$N$21-Konvergensi!$F$389;2);PANGKAT(Normalisasi!$O$21-Konvergensi!$G$389;2);PANGKAT(Normalisasi!$P$21-Konvergensi!$H$389;2)))</f>
        <v/>
      </c>
      <c r="D420">
        <f>AKAR(JUMLAH(PANGKAT(Normalisasi!$J$21-Konvergensi!$B$390;2);PANGKAT(Normalisasi!$K$21-Konvergensi!$C$390;2);PANGKAT(Normalisasi!$L$21-Konvergensi!$D$390;2);PANGKAT(Normalisasi!$M$21-Konvergensi!$E$390;2);PANGKAT(Normalisasi!$N$21-Konvergensi!$F$390;2);PANGKAT(Normalisasi!$O$21-Konvergensi!$G$390;2);PANGKAT(Normalisasi!$P$21-Konvergensi!$H$390;2)))</f>
        <v/>
      </c>
      <c r="E420">
        <f>AKAR(JUMLAH(PANGKAT(Normalisasi!$J$21-Konvergensi!$B$391;2);PANGKAT(Normalisasi!$K$21-Konvergensi!$C$391;2);PANGKAT(Normalisasi!$L$21-Konvergensi!$D$391;2);PANGKAT(Normalisasi!$M$21-Konvergensi!$E$391;2);PANGKAT(Normalisasi!$N$21-Konvergensi!$F$391;2);PANGKAT(Normalisasi!$O$21-Konvergensi!$G$391;2);PANGKAT(Normalisasi!$P$21-Konvergensi!$H$391;2)))</f>
        <v/>
      </c>
      <c r="F420">
        <f>JIKA(C420&lt;=D420;=JIKA(C420&lt;=E420;0;2);=JIKA(D420&lt;=E420;1;2))</f>
        <v/>
      </c>
      <c r="G420">
        <f>JUMLAH(JIKA(F420=0;JUMLAH(PANGKAT(Normalisasi!$J$21-Konvergensi!$B$454;2);PANGKAT(Normalisasi!$K$21-Konvergensi!$C$454;2);PANGKAT(Normalisasi!$L$21-Konvergensi!$D$454;2);PANGKAT(Normalisasi!$M$21-Konvergensi!$E$454;2);PANGKAT(Normalisasi!$N$21-Konvergensi!$F$454;2);PANGKAT(Normalisasi!$O$21-Konvergensi!$G$454;2);PANGKAT(Normalisasi!$P$21-Konvergensi!$H$454;2));0);JIKA(F420=1;JUMLAH(PANGKAT(Normalisasi!$J$21-Konvergensi!$B$455;2);PANGKAT(Normalisasi!$K$21-Konvergensi!$C$455;2);PANGKAT(Normalisasi!$L$21-Konvergensi!$D$455;2);PANGKAT(Normalisasi!$M$21-Konvergensi!$E$455;2);PANGKAT(Normalisasi!$N$21-Konvergensi!$F$455;2);PANGKAT(Normalisasi!$O$21-Konvergensi!$G$455;2);PANGKAT(Normalisasi!$P$21-Konvergensi!$H$455;2));0);JIKA(F420=2;JUMLAH(PANGKAT(Normalisasi!$J$21-Konvergensi!$B$456;2);PANGKAT(Normalisasi!$K$21-Konvergensi!$C$456;2);PANGKAT(Normalisasi!$L$21-Konvergensi!$D$456;2);PANGKAT(Normalisasi!$M$21-Konvergensi!$E$456;2);PANGKAT(Normalisasi!$N$21-Konvergensi!$F$456;2);PANGKAT(Normalisasi!$O$21-Konvergensi!$G$456;2);PANGKAT(Normalisasi!$P$21-Konvergensi!$H$456;2));0))</f>
        <v/>
      </c>
      <c r="H420" t="n">
        <v>2</v>
      </c>
      <c r="I420" t="n">
        <v>6.362391505617769</v>
      </c>
    </row>
    <row r="421">
      <c r="A421">
        <f>Data_Awal!A22</f>
        <v/>
      </c>
      <c r="B421">
        <f>Data_Awal!B22</f>
        <v/>
      </c>
      <c r="C421">
        <f>AKAR(JUMLAH(PANGKAT(Normalisasi!$J$22-Konvergensi!$B$389;2);PANGKAT(Normalisasi!$K$22-Konvergensi!$C$389;2);PANGKAT(Normalisasi!$L$22-Konvergensi!$D$389;2);PANGKAT(Normalisasi!$M$22-Konvergensi!$E$389;2);PANGKAT(Normalisasi!$N$22-Konvergensi!$F$389;2);PANGKAT(Normalisasi!$O$22-Konvergensi!$G$389;2);PANGKAT(Normalisasi!$P$22-Konvergensi!$H$389;2)))</f>
        <v/>
      </c>
      <c r="D421">
        <f>AKAR(JUMLAH(PANGKAT(Normalisasi!$J$22-Konvergensi!$B$390;2);PANGKAT(Normalisasi!$K$22-Konvergensi!$C$390;2);PANGKAT(Normalisasi!$L$22-Konvergensi!$D$390;2);PANGKAT(Normalisasi!$M$22-Konvergensi!$E$390;2);PANGKAT(Normalisasi!$N$22-Konvergensi!$F$390;2);PANGKAT(Normalisasi!$O$22-Konvergensi!$G$390;2);PANGKAT(Normalisasi!$P$22-Konvergensi!$H$390;2)))</f>
        <v/>
      </c>
      <c r="E421">
        <f>AKAR(JUMLAH(PANGKAT(Normalisasi!$J$22-Konvergensi!$B$391;2);PANGKAT(Normalisasi!$K$22-Konvergensi!$C$391;2);PANGKAT(Normalisasi!$L$22-Konvergensi!$D$391;2);PANGKAT(Normalisasi!$M$22-Konvergensi!$E$391;2);PANGKAT(Normalisasi!$N$22-Konvergensi!$F$391;2);PANGKAT(Normalisasi!$O$22-Konvergensi!$G$391;2);PANGKAT(Normalisasi!$P$22-Konvergensi!$H$391;2)))</f>
        <v/>
      </c>
      <c r="F421">
        <f>JIKA(C421&lt;=D421;=JIKA(C421&lt;=E421;0;2);=JIKA(D421&lt;=E421;1;2))</f>
        <v/>
      </c>
      <c r="G421">
        <f>JUMLAH(JIKA(F421=0;JUMLAH(PANGKAT(Normalisasi!$J$22-Konvergensi!$B$454;2);PANGKAT(Normalisasi!$K$22-Konvergensi!$C$454;2);PANGKAT(Normalisasi!$L$22-Konvergensi!$D$454;2);PANGKAT(Normalisasi!$M$22-Konvergensi!$E$454;2);PANGKAT(Normalisasi!$N$22-Konvergensi!$F$454;2);PANGKAT(Normalisasi!$O$22-Konvergensi!$G$454;2);PANGKAT(Normalisasi!$P$22-Konvergensi!$H$454;2));0);JIKA(F421=1;JUMLAH(PANGKAT(Normalisasi!$J$22-Konvergensi!$B$455;2);PANGKAT(Normalisasi!$K$22-Konvergensi!$C$455;2);PANGKAT(Normalisasi!$L$22-Konvergensi!$D$455;2);PANGKAT(Normalisasi!$M$22-Konvergensi!$E$455;2);PANGKAT(Normalisasi!$N$22-Konvergensi!$F$455;2);PANGKAT(Normalisasi!$O$22-Konvergensi!$G$455;2);PANGKAT(Normalisasi!$P$22-Konvergensi!$H$455;2));0);JIKA(F421=2;JUMLAH(PANGKAT(Normalisasi!$J$22-Konvergensi!$B$456;2);PANGKAT(Normalisasi!$K$22-Konvergensi!$C$456;2);PANGKAT(Normalisasi!$L$22-Konvergensi!$D$456;2);PANGKAT(Normalisasi!$M$22-Konvergensi!$E$456;2);PANGKAT(Normalisasi!$N$22-Konvergensi!$F$456;2);PANGKAT(Normalisasi!$O$22-Konvergensi!$G$456;2);PANGKAT(Normalisasi!$P$22-Konvergensi!$H$456;2));0))</f>
        <v/>
      </c>
      <c r="H421" t="n">
        <v>0</v>
      </c>
      <c r="I421" t="n">
        <v>8.701092753058521</v>
      </c>
    </row>
    <row r="422">
      <c r="A422">
        <f>Data_Awal!A23</f>
        <v/>
      </c>
      <c r="B422">
        <f>Data_Awal!B23</f>
        <v/>
      </c>
      <c r="C422">
        <f>AKAR(JUMLAH(PANGKAT(Normalisasi!$J$23-Konvergensi!$B$389;2);PANGKAT(Normalisasi!$K$23-Konvergensi!$C$389;2);PANGKAT(Normalisasi!$L$23-Konvergensi!$D$389;2);PANGKAT(Normalisasi!$M$23-Konvergensi!$E$389;2);PANGKAT(Normalisasi!$N$23-Konvergensi!$F$389;2);PANGKAT(Normalisasi!$O$23-Konvergensi!$G$389;2);PANGKAT(Normalisasi!$P$23-Konvergensi!$H$389;2)))</f>
        <v/>
      </c>
      <c r="D422">
        <f>AKAR(JUMLAH(PANGKAT(Normalisasi!$J$23-Konvergensi!$B$390;2);PANGKAT(Normalisasi!$K$23-Konvergensi!$C$390;2);PANGKAT(Normalisasi!$L$23-Konvergensi!$D$390;2);PANGKAT(Normalisasi!$M$23-Konvergensi!$E$390;2);PANGKAT(Normalisasi!$N$23-Konvergensi!$F$390;2);PANGKAT(Normalisasi!$O$23-Konvergensi!$G$390;2);PANGKAT(Normalisasi!$P$23-Konvergensi!$H$390;2)))</f>
        <v/>
      </c>
      <c r="E422">
        <f>AKAR(JUMLAH(PANGKAT(Normalisasi!$J$23-Konvergensi!$B$391;2);PANGKAT(Normalisasi!$K$23-Konvergensi!$C$391;2);PANGKAT(Normalisasi!$L$23-Konvergensi!$D$391;2);PANGKAT(Normalisasi!$M$23-Konvergensi!$E$391;2);PANGKAT(Normalisasi!$N$23-Konvergensi!$F$391;2);PANGKAT(Normalisasi!$O$23-Konvergensi!$G$391;2);PANGKAT(Normalisasi!$P$23-Konvergensi!$H$391;2)))</f>
        <v/>
      </c>
      <c r="F422">
        <f>JIKA(C422&lt;=D422;=JIKA(C422&lt;=E422;0;2);=JIKA(D422&lt;=E422;1;2))</f>
        <v/>
      </c>
      <c r="G422">
        <f>JUMLAH(JIKA(F422=0;JUMLAH(PANGKAT(Normalisasi!$J$23-Konvergensi!$B$454;2);PANGKAT(Normalisasi!$K$23-Konvergensi!$C$454;2);PANGKAT(Normalisasi!$L$23-Konvergensi!$D$454;2);PANGKAT(Normalisasi!$M$23-Konvergensi!$E$454;2);PANGKAT(Normalisasi!$N$23-Konvergensi!$F$454;2);PANGKAT(Normalisasi!$O$23-Konvergensi!$G$454;2);PANGKAT(Normalisasi!$P$23-Konvergensi!$H$454;2));0);JIKA(F422=1;JUMLAH(PANGKAT(Normalisasi!$J$23-Konvergensi!$B$455;2);PANGKAT(Normalisasi!$K$23-Konvergensi!$C$455;2);PANGKAT(Normalisasi!$L$23-Konvergensi!$D$455;2);PANGKAT(Normalisasi!$M$23-Konvergensi!$E$455;2);PANGKAT(Normalisasi!$N$23-Konvergensi!$F$455;2);PANGKAT(Normalisasi!$O$23-Konvergensi!$G$455;2);PANGKAT(Normalisasi!$P$23-Konvergensi!$H$455;2));0);JIKA(F422=2;JUMLAH(PANGKAT(Normalisasi!$J$23-Konvergensi!$B$456;2);PANGKAT(Normalisasi!$K$23-Konvergensi!$C$456;2);PANGKAT(Normalisasi!$L$23-Konvergensi!$D$456;2);PANGKAT(Normalisasi!$M$23-Konvergensi!$E$456;2);PANGKAT(Normalisasi!$N$23-Konvergensi!$F$456;2);PANGKAT(Normalisasi!$O$23-Konvergensi!$G$456;2);PANGKAT(Normalisasi!$P$23-Konvergensi!$H$456;2));0))</f>
        <v/>
      </c>
      <c r="H422" t="n">
        <v>1</v>
      </c>
      <c r="I422" t="n">
        <v>6.57222347755811</v>
      </c>
    </row>
    <row r="423">
      <c r="A423">
        <f>Data_Awal!A24</f>
        <v/>
      </c>
      <c r="B423">
        <f>Data_Awal!B24</f>
        <v/>
      </c>
      <c r="C423">
        <f>AKAR(JUMLAH(PANGKAT(Normalisasi!$J$24-Konvergensi!$B$389;2);PANGKAT(Normalisasi!$K$24-Konvergensi!$C$389;2);PANGKAT(Normalisasi!$L$24-Konvergensi!$D$389;2);PANGKAT(Normalisasi!$M$24-Konvergensi!$E$389;2);PANGKAT(Normalisasi!$N$24-Konvergensi!$F$389;2);PANGKAT(Normalisasi!$O$24-Konvergensi!$G$389;2);PANGKAT(Normalisasi!$P$24-Konvergensi!$H$389;2)))</f>
        <v/>
      </c>
      <c r="D423">
        <f>AKAR(JUMLAH(PANGKAT(Normalisasi!$J$24-Konvergensi!$B$390;2);PANGKAT(Normalisasi!$K$24-Konvergensi!$C$390;2);PANGKAT(Normalisasi!$L$24-Konvergensi!$D$390;2);PANGKAT(Normalisasi!$M$24-Konvergensi!$E$390;2);PANGKAT(Normalisasi!$N$24-Konvergensi!$F$390;2);PANGKAT(Normalisasi!$O$24-Konvergensi!$G$390;2);PANGKAT(Normalisasi!$P$24-Konvergensi!$H$390;2)))</f>
        <v/>
      </c>
      <c r="E423">
        <f>AKAR(JUMLAH(PANGKAT(Normalisasi!$J$24-Konvergensi!$B$391;2);PANGKAT(Normalisasi!$K$24-Konvergensi!$C$391;2);PANGKAT(Normalisasi!$L$24-Konvergensi!$D$391;2);PANGKAT(Normalisasi!$M$24-Konvergensi!$E$391;2);PANGKAT(Normalisasi!$N$24-Konvergensi!$F$391;2);PANGKAT(Normalisasi!$O$24-Konvergensi!$G$391;2);PANGKAT(Normalisasi!$P$24-Konvergensi!$H$391;2)))</f>
        <v/>
      </c>
      <c r="F423">
        <f>JIKA(C423&lt;=D423;=JIKA(C423&lt;=E423;0;2);=JIKA(D423&lt;=E423;1;2))</f>
        <v/>
      </c>
      <c r="G423">
        <f>JUMLAH(JIKA(F423=0;JUMLAH(PANGKAT(Normalisasi!$J$24-Konvergensi!$B$454;2);PANGKAT(Normalisasi!$K$24-Konvergensi!$C$454;2);PANGKAT(Normalisasi!$L$24-Konvergensi!$D$454;2);PANGKAT(Normalisasi!$M$24-Konvergensi!$E$454;2);PANGKAT(Normalisasi!$N$24-Konvergensi!$F$454;2);PANGKAT(Normalisasi!$O$24-Konvergensi!$G$454;2);PANGKAT(Normalisasi!$P$24-Konvergensi!$H$454;2));0);JIKA(F423=1;JUMLAH(PANGKAT(Normalisasi!$J$24-Konvergensi!$B$455;2);PANGKAT(Normalisasi!$K$24-Konvergensi!$C$455;2);PANGKAT(Normalisasi!$L$24-Konvergensi!$D$455;2);PANGKAT(Normalisasi!$M$24-Konvergensi!$E$455;2);PANGKAT(Normalisasi!$N$24-Konvergensi!$F$455;2);PANGKAT(Normalisasi!$O$24-Konvergensi!$G$455;2);PANGKAT(Normalisasi!$P$24-Konvergensi!$H$455;2));0);JIKA(F423=2;JUMLAH(PANGKAT(Normalisasi!$J$24-Konvergensi!$B$456;2);PANGKAT(Normalisasi!$K$24-Konvergensi!$C$456;2);PANGKAT(Normalisasi!$L$24-Konvergensi!$D$456;2);PANGKAT(Normalisasi!$M$24-Konvergensi!$E$456;2);PANGKAT(Normalisasi!$N$24-Konvergensi!$F$456;2);PANGKAT(Normalisasi!$O$24-Konvergensi!$G$456;2);PANGKAT(Normalisasi!$P$24-Konvergensi!$H$456;2));0))</f>
        <v/>
      </c>
      <c r="H423" t="n">
        <v>2</v>
      </c>
      <c r="I423" t="n">
        <v>2.85090612895975</v>
      </c>
    </row>
    <row r="424">
      <c r="A424">
        <f>Data_Awal!A25</f>
        <v/>
      </c>
      <c r="B424">
        <f>Data_Awal!B25</f>
        <v/>
      </c>
      <c r="C424">
        <f>AKAR(JUMLAH(PANGKAT(Normalisasi!$J$25-Konvergensi!$B$389;2);PANGKAT(Normalisasi!$K$25-Konvergensi!$C$389;2);PANGKAT(Normalisasi!$L$25-Konvergensi!$D$389;2);PANGKAT(Normalisasi!$M$25-Konvergensi!$E$389;2);PANGKAT(Normalisasi!$N$25-Konvergensi!$F$389;2);PANGKAT(Normalisasi!$O$25-Konvergensi!$G$389;2);PANGKAT(Normalisasi!$P$25-Konvergensi!$H$389;2)))</f>
        <v/>
      </c>
      <c r="D424">
        <f>AKAR(JUMLAH(PANGKAT(Normalisasi!$J$25-Konvergensi!$B$390;2);PANGKAT(Normalisasi!$K$25-Konvergensi!$C$390;2);PANGKAT(Normalisasi!$L$25-Konvergensi!$D$390;2);PANGKAT(Normalisasi!$M$25-Konvergensi!$E$390;2);PANGKAT(Normalisasi!$N$25-Konvergensi!$F$390;2);PANGKAT(Normalisasi!$O$25-Konvergensi!$G$390;2);PANGKAT(Normalisasi!$P$25-Konvergensi!$H$390;2)))</f>
        <v/>
      </c>
      <c r="E424">
        <f>AKAR(JUMLAH(PANGKAT(Normalisasi!$J$25-Konvergensi!$B$391;2);PANGKAT(Normalisasi!$K$25-Konvergensi!$C$391;2);PANGKAT(Normalisasi!$L$25-Konvergensi!$D$391;2);PANGKAT(Normalisasi!$M$25-Konvergensi!$E$391;2);PANGKAT(Normalisasi!$N$25-Konvergensi!$F$391;2);PANGKAT(Normalisasi!$O$25-Konvergensi!$G$391;2);PANGKAT(Normalisasi!$P$25-Konvergensi!$H$391;2)))</f>
        <v/>
      </c>
      <c r="F424">
        <f>JIKA(C424&lt;=D424;=JIKA(C424&lt;=E424;0;2);=JIKA(D424&lt;=E424;1;2))</f>
        <v/>
      </c>
      <c r="G424">
        <f>JUMLAH(JIKA(F424=0;JUMLAH(PANGKAT(Normalisasi!$J$25-Konvergensi!$B$454;2);PANGKAT(Normalisasi!$K$25-Konvergensi!$C$454;2);PANGKAT(Normalisasi!$L$25-Konvergensi!$D$454;2);PANGKAT(Normalisasi!$M$25-Konvergensi!$E$454;2);PANGKAT(Normalisasi!$N$25-Konvergensi!$F$454;2);PANGKAT(Normalisasi!$O$25-Konvergensi!$G$454;2);PANGKAT(Normalisasi!$P$25-Konvergensi!$H$454;2));0);JIKA(F424=1;JUMLAH(PANGKAT(Normalisasi!$J$25-Konvergensi!$B$455;2);PANGKAT(Normalisasi!$K$25-Konvergensi!$C$455;2);PANGKAT(Normalisasi!$L$25-Konvergensi!$D$455;2);PANGKAT(Normalisasi!$M$25-Konvergensi!$E$455;2);PANGKAT(Normalisasi!$N$25-Konvergensi!$F$455;2);PANGKAT(Normalisasi!$O$25-Konvergensi!$G$455;2);PANGKAT(Normalisasi!$P$25-Konvergensi!$H$455;2));0);JIKA(F424=2;JUMLAH(PANGKAT(Normalisasi!$J$25-Konvergensi!$B$456;2);PANGKAT(Normalisasi!$K$25-Konvergensi!$C$456;2);PANGKAT(Normalisasi!$L$25-Konvergensi!$D$456;2);PANGKAT(Normalisasi!$M$25-Konvergensi!$E$456;2);PANGKAT(Normalisasi!$N$25-Konvergensi!$F$456;2);PANGKAT(Normalisasi!$O$25-Konvergensi!$G$456;2);PANGKAT(Normalisasi!$P$25-Konvergensi!$H$456;2));0))</f>
        <v/>
      </c>
      <c r="H424" t="n">
        <v>1</v>
      </c>
      <c r="I424" t="n">
        <v>3.968300998423876</v>
      </c>
    </row>
    <row r="425">
      <c r="A425">
        <f>Data_Awal!A26</f>
        <v/>
      </c>
      <c r="B425">
        <f>Data_Awal!B26</f>
        <v/>
      </c>
      <c r="C425">
        <f>AKAR(JUMLAH(PANGKAT(Normalisasi!$J$26-Konvergensi!$B$389;2);PANGKAT(Normalisasi!$K$26-Konvergensi!$C$389;2);PANGKAT(Normalisasi!$L$26-Konvergensi!$D$389;2);PANGKAT(Normalisasi!$M$26-Konvergensi!$E$389;2);PANGKAT(Normalisasi!$N$26-Konvergensi!$F$389;2);PANGKAT(Normalisasi!$O$26-Konvergensi!$G$389;2);PANGKAT(Normalisasi!$P$26-Konvergensi!$H$389;2)))</f>
        <v/>
      </c>
      <c r="D425">
        <f>AKAR(JUMLAH(PANGKAT(Normalisasi!$J$26-Konvergensi!$B$390;2);PANGKAT(Normalisasi!$K$26-Konvergensi!$C$390;2);PANGKAT(Normalisasi!$L$26-Konvergensi!$D$390;2);PANGKAT(Normalisasi!$M$26-Konvergensi!$E$390;2);PANGKAT(Normalisasi!$N$26-Konvergensi!$F$390;2);PANGKAT(Normalisasi!$O$26-Konvergensi!$G$390;2);PANGKAT(Normalisasi!$P$26-Konvergensi!$H$390;2)))</f>
        <v/>
      </c>
      <c r="E425">
        <f>AKAR(JUMLAH(PANGKAT(Normalisasi!$J$26-Konvergensi!$B$391;2);PANGKAT(Normalisasi!$K$26-Konvergensi!$C$391;2);PANGKAT(Normalisasi!$L$26-Konvergensi!$D$391;2);PANGKAT(Normalisasi!$M$26-Konvergensi!$E$391;2);PANGKAT(Normalisasi!$N$26-Konvergensi!$F$391;2);PANGKAT(Normalisasi!$O$26-Konvergensi!$G$391;2);PANGKAT(Normalisasi!$P$26-Konvergensi!$H$391;2)))</f>
        <v/>
      </c>
      <c r="F425">
        <f>JIKA(C425&lt;=D425;=JIKA(C425&lt;=E425;0;2);=JIKA(D425&lt;=E425;1;2))</f>
        <v/>
      </c>
      <c r="G425">
        <f>JUMLAH(JIKA(F425=0;JUMLAH(PANGKAT(Normalisasi!$J$26-Konvergensi!$B$454;2);PANGKAT(Normalisasi!$K$26-Konvergensi!$C$454;2);PANGKAT(Normalisasi!$L$26-Konvergensi!$D$454;2);PANGKAT(Normalisasi!$M$26-Konvergensi!$E$454;2);PANGKAT(Normalisasi!$N$26-Konvergensi!$F$454;2);PANGKAT(Normalisasi!$O$26-Konvergensi!$G$454;2);PANGKAT(Normalisasi!$P$26-Konvergensi!$H$454;2));0);JIKA(F425=1;JUMLAH(PANGKAT(Normalisasi!$J$26-Konvergensi!$B$455;2);PANGKAT(Normalisasi!$K$26-Konvergensi!$C$455;2);PANGKAT(Normalisasi!$L$26-Konvergensi!$D$455;2);PANGKAT(Normalisasi!$M$26-Konvergensi!$E$455;2);PANGKAT(Normalisasi!$N$26-Konvergensi!$F$455;2);PANGKAT(Normalisasi!$O$26-Konvergensi!$G$455;2);PANGKAT(Normalisasi!$P$26-Konvergensi!$H$455;2));0);JIKA(F425=2;JUMLAH(PANGKAT(Normalisasi!$J$26-Konvergensi!$B$456;2);PANGKAT(Normalisasi!$K$26-Konvergensi!$C$456;2);PANGKAT(Normalisasi!$L$26-Konvergensi!$D$456;2);PANGKAT(Normalisasi!$M$26-Konvergensi!$E$456;2);PANGKAT(Normalisasi!$N$26-Konvergensi!$F$456;2);PANGKAT(Normalisasi!$O$26-Konvergensi!$G$456;2);PANGKAT(Normalisasi!$P$26-Konvergensi!$H$456;2));0))</f>
        <v/>
      </c>
      <c r="H425" t="n">
        <v>2</v>
      </c>
      <c r="I425" t="n">
        <v>5.967859660567623</v>
      </c>
    </row>
    <row r="426">
      <c r="A426">
        <f>Data_Awal!A27</f>
        <v/>
      </c>
      <c r="B426">
        <f>Data_Awal!B27</f>
        <v/>
      </c>
      <c r="C426">
        <f>AKAR(JUMLAH(PANGKAT(Normalisasi!$J$27-Konvergensi!$B$389;2);PANGKAT(Normalisasi!$K$27-Konvergensi!$C$389;2);PANGKAT(Normalisasi!$L$27-Konvergensi!$D$389;2);PANGKAT(Normalisasi!$M$27-Konvergensi!$E$389;2);PANGKAT(Normalisasi!$N$27-Konvergensi!$F$389;2);PANGKAT(Normalisasi!$O$27-Konvergensi!$G$389;2);PANGKAT(Normalisasi!$P$27-Konvergensi!$H$389;2)))</f>
        <v/>
      </c>
      <c r="D426">
        <f>AKAR(JUMLAH(PANGKAT(Normalisasi!$J$27-Konvergensi!$B$390;2);PANGKAT(Normalisasi!$K$27-Konvergensi!$C$390;2);PANGKAT(Normalisasi!$L$27-Konvergensi!$D$390;2);PANGKAT(Normalisasi!$M$27-Konvergensi!$E$390;2);PANGKAT(Normalisasi!$N$27-Konvergensi!$F$390;2);PANGKAT(Normalisasi!$O$27-Konvergensi!$G$390;2);PANGKAT(Normalisasi!$P$27-Konvergensi!$H$390;2)))</f>
        <v/>
      </c>
      <c r="E426">
        <f>AKAR(JUMLAH(PANGKAT(Normalisasi!$J$27-Konvergensi!$B$391;2);PANGKAT(Normalisasi!$K$27-Konvergensi!$C$391;2);PANGKAT(Normalisasi!$L$27-Konvergensi!$D$391;2);PANGKAT(Normalisasi!$M$27-Konvergensi!$E$391;2);PANGKAT(Normalisasi!$N$27-Konvergensi!$F$391;2);PANGKAT(Normalisasi!$O$27-Konvergensi!$G$391;2);PANGKAT(Normalisasi!$P$27-Konvergensi!$H$391;2)))</f>
        <v/>
      </c>
      <c r="F426">
        <f>JIKA(C426&lt;=D426;=JIKA(C426&lt;=E426;0;2);=JIKA(D426&lt;=E426;1;2))</f>
        <v/>
      </c>
      <c r="G426">
        <f>JUMLAH(JIKA(F426=0;JUMLAH(PANGKAT(Normalisasi!$J$27-Konvergensi!$B$454;2);PANGKAT(Normalisasi!$K$27-Konvergensi!$C$454;2);PANGKAT(Normalisasi!$L$27-Konvergensi!$D$454;2);PANGKAT(Normalisasi!$M$27-Konvergensi!$E$454;2);PANGKAT(Normalisasi!$N$27-Konvergensi!$F$454;2);PANGKAT(Normalisasi!$O$27-Konvergensi!$G$454;2);PANGKAT(Normalisasi!$P$27-Konvergensi!$H$454;2));0);JIKA(F426=1;JUMLAH(PANGKAT(Normalisasi!$J$27-Konvergensi!$B$455;2);PANGKAT(Normalisasi!$K$27-Konvergensi!$C$455;2);PANGKAT(Normalisasi!$L$27-Konvergensi!$D$455;2);PANGKAT(Normalisasi!$M$27-Konvergensi!$E$455;2);PANGKAT(Normalisasi!$N$27-Konvergensi!$F$455;2);PANGKAT(Normalisasi!$O$27-Konvergensi!$G$455;2);PANGKAT(Normalisasi!$P$27-Konvergensi!$H$455;2));0);JIKA(F426=2;JUMLAH(PANGKAT(Normalisasi!$J$27-Konvergensi!$B$456;2);PANGKAT(Normalisasi!$K$27-Konvergensi!$C$456;2);PANGKAT(Normalisasi!$L$27-Konvergensi!$D$456;2);PANGKAT(Normalisasi!$M$27-Konvergensi!$E$456;2);PANGKAT(Normalisasi!$N$27-Konvergensi!$F$456;2);PANGKAT(Normalisasi!$O$27-Konvergensi!$G$456;2);PANGKAT(Normalisasi!$P$27-Konvergensi!$H$456;2));0))</f>
        <v/>
      </c>
      <c r="H426" t="n">
        <v>0</v>
      </c>
      <c r="I426" t="n">
        <v>1.778280831441027</v>
      </c>
    </row>
    <row r="427">
      <c r="A427">
        <f>Data_Awal!A28</f>
        <v/>
      </c>
      <c r="B427">
        <f>Data_Awal!B28</f>
        <v/>
      </c>
      <c r="C427">
        <f>AKAR(JUMLAH(PANGKAT(Normalisasi!$J$28-Konvergensi!$B$389;2);PANGKAT(Normalisasi!$K$28-Konvergensi!$C$389;2);PANGKAT(Normalisasi!$L$28-Konvergensi!$D$389;2);PANGKAT(Normalisasi!$M$28-Konvergensi!$E$389;2);PANGKAT(Normalisasi!$N$28-Konvergensi!$F$389;2);PANGKAT(Normalisasi!$O$28-Konvergensi!$G$389;2);PANGKAT(Normalisasi!$P$28-Konvergensi!$H$389;2)))</f>
        <v/>
      </c>
      <c r="D427">
        <f>AKAR(JUMLAH(PANGKAT(Normalisasi!$J$28-Konvergensi!$B$390;2);PANGKAT(Normalisasi!$K$28-Konvergensi!$C$390;2);PANGKAT(Normalisasi!$L$28-Konvergensi!$D$390;2);PANGKAT(Normalisasi!$M$28-Konvergensi!$E$390;2);PANGKAT(Normalisasi!$N$28-Konvergensi!$F$390;2);PANGKAT(Normalisasi!$O$28-Konvergensi!$G$390;2);PANGKAT(Normalisasi!$P$28-Konvergensi!$H$390;2)))</f>
        <v/>
      </c>
      <c r="E427">
        <f>AKAR(JUMLAH(PANGKAT(Normalisasi!$J$28-Konvergensi!$B$391;2);PANGKAT(Normalisasi!$K$28-Konvergensi!$C$391;2);PANGKAT(Normalisasi!$L$28-Konvergensi!$D$391;2);PANGKAT(Normalisasi!$M$28-Konvergensi!$E$391;2);PANGKAT(Normalisasi!$N$28-Konvergensi!$F$391;2);PANGKAT(Normalisasi!$O$28-Konvergensi!$G$391;2);PANGKAT(Normalisasi!$P$28-Konvergensi!$H$391;2)))</f>
        <v/>
      </c>
      <c r="F427">
        <f>JIKA(C427&lt;=D427;=JIKA(C427&lt;=E427;0;2);=JIKA(D427&lt;=E427;1;2))</f>
        <v/>
      </c>
      <c r="G427">
        <f>JUMLAH(JIKA(F427=0;JUMLAH(PANGKAT(Normalisasi!$J$28-Konvergensi!$B$454;2);PANGKAT(Normalisasi!$K$28-Konvergensi!$C$454;2);PANGKAT(Normalisasi!$L$28-Konvergensi!$D$454;2);PANGKAT(Normalisasi!$M$28-Konvergensi!$E$454;2);PANGKAT(Normalisasi!$N$28-Konvergensi!$F$454;2);PANGKAT(Normalisasi!$O$28-Konvergensi!$G$454;2);PANGKAT(Normalisasi!$P$28-Konvergensi!$H$454;2));0);JIKA(F427=1;JUMLAH(PANGKAT(Normalisasi!$J$28-Konvergensi!$B$455;2);PANGKAT(Normalisasi!$K$28-Konvergensi!$C$455;2);PANGKAT(Normalisasi!$L$28-Konvergensi!$D$455;2);PANGKAT(Normalisasi!$M$28-Konvergensi!$E$455;2);PANGKAT(Normalisasi!$N$28-Konvergensi!$F$455;2);PANGKAT(Normalisasi!$O$28-Konvergensi!$G$455;2);PANGKAT(Normalisasi!$P$28-Konvergensi!$H$455;2));0);JIKA(F427=2;JUMLAH(PANGKAT(Normalisasi!$J$28-Konvergensi!$B$456;2);PANGKAT(Normalisasi!$K$28-Konvergensi!$C$456;2);PANGKAT(Normalisasi!$L$28-Konvergensi!$D$456;2);PANGKAT(Normalisasi!$M$28-Konvergensi!$E$456;2);PANGKAT(Normalisasi!$N$28-Konvergensi!$F$456;2);PANGKAT(Normalisasi!$O$28-Konvergensi!$G$456;2);PANGKAT(Normalisasi!$P$28-Konvergensi!$H$456;2));0))</f>
        <v/>
      </c>
      <c r="H427" t="n">
        <v>1</v>
      </c>
      <c r="I427" t="n">
        <v>10.51074437071328</v>
      </c>
    </row>
    <row r="428">
      <c r="A428">
        <f>Data_Awal!A29</f>
        <v/>
      </c>
      <c r="B428">
        <f>Data_Awal!B29</f>
        <v/>
      </c>
      <c r="C428">
        <f>AKAR(JUMLAH(PANGKAT(Normalisasi!$J$29-Konvergensi!$B$389;2);PANGKAT(Normalisasi!$K$29-Konvergensi!$C$389;2);PANGKAT(Normalisasi!$L$29-Konvergensi!$D$389;2);PANGKAT(Normalisasi!$M$29-Konvergensi!$E$389;2);PANGKAT(Normalisasi!$N$29-Konvergensi!$F$389;2);PANGKAT(Normalisasi!$O$29-Konvergensi!$G$389;2);PANGKAT(Normalisasi!$P$29-Konvergensi!$H$389;2)))</f>
        <v/>
      </c>
      <c r="D428">
        <f>AKAR(JUMLAH(PANGKAT(Normalisasi!$J$29-Konvergensi!$B$390;2);PANGKAT(Normalisasi!$K$29-Konvergensi!$C$390;2);PANGKAT(Normalisasi!$L$29-Konvergensi!$D$390;2);PANGKAT(Normalisasi!$M$29-Konvergensi!$E$390;2);PANGKAT(Normalisasi!$N$29-Konvergensi!$F$390;2);PANGKAT(Normalisasi!$O$29-Konvergensi!$G$390;2);PANGKAT(Normalisasi!$P$29-Konvergensi!$H$390;2)))</f>
        <v/>
      </c>
      <c r="E428">
        <f>AKAR(JUMLAH(PANGKAT(Normalisasi!$J$29-Konvergensi!$B$391;2);PANGKAT(Normalisasi!$K$29-Konvergensi!$C$391;2);PANGKAT(Normalisasi!$L$29-Konvergensi!$D$391;2);PANGKAT(Normalisasi!$M$29-Konvergensi!$E$391;2);PANGKAT(Normalisasi!$N$29-Konvergensi!$F$391;2);PANGKAT(Normalisasi!$O$29-Konvergensi!$G$391;2);PANGKAT(Normalisasi!$P$29-Konvergensi!$H$391;2)))</f>
        <v/>
      </c>
      <c r="F428">
        <f>JIKA(C428&lt;=D428;=JIKA(C428&lt;=E428;0;2);=JIKA(D428&lt;=E428;1;2))</f>
        <v/>
      </c>
      <c r="G428">
        <f>JUMLAH(JIKA(F428=0;JUMLAH(PANGKAT(Normalisasi!$J$29-Konvergensi!$B$454;2);PANGKAT(Normalisasi!$K$29-Konvergensi!$C$454;2);PANGKAT(Normalisasi!$L$29-Konvergensi!$D$454;2);PANGKAT(Normalisasi!$M$29-Konvergensi!$E$454;2);PANGKAT(Normalisasi!$N$29-Konvergensi!$F$454;2);PANGKAT(Normalisasi!$O$29-Konvergensi!$G$454;2);PANGKAT(Normalisasi!$P$29-Konvergensi!$H$454;2));0);JIKA(F428=1;JUMLAH(PANGKAT(Normalisasi!$J$29-Konvergensi!$B$455;2);PANGKAT(Normalisasi!$K$29-Konvergensi!$C$455;2);PANGKAT(Normalisasi!$L$29-Konvergensi!$D$455;2);PANGKAT(Normalisasi!$M$29-Konvergensi!$E$455;2);PANGKAT(Normalisasi!$N$29-Konvergensi!$F$455;2);PANGKAT(Normalisasi!$O$29-Konvergensi!$G$455;2);PANGKAT(Normalisasi!$P$29-Konvergensi!$H$455;2));0);JIKA(F428=2;JUMLAH(PANGKAT(Normalisasi!$J$29-Konvergensi!$B$456;2);PANGKAT(Normalisasi!$K$29-Konvergensi!$C$456;2);PANGKAT(Normalisasi!$L$29-Konvergensi!$D$456;2);PANGKAT(Normalisasi!$M$29-Konvergensi!$E$456;2);PANGKAT(Normalisasi!$N$29-Konvergensi!$F$456;2);PANGKAT(Normalisasi!$O$29-Konvergensi!$G$456;2);PANGKAT(Normalisasi!$P$29-Konvergensi!$H$456;2));0))</f>
        <v/>
      </c>
      <c r="H428" t="n">
        <v>2</v>
      </c>
      <c r="I428" t="n">
        <v>4.259864853462197</v>
      </c>
    </row>
    <row r="429">
      <c r="A429">
        <f>Data_Awal!A30</f>
        <v/>
      </c>
      <c r="B429">
        <f>Data_Awal!B30</f>
        <v/>
      </c>
      <c r="C429">
        <f>AKAR(JUMLAH(PANGKAT(Normalisasi!$J$30-Konvergensi!$B$389;2);PANGKAT(Normalisasi!$K$30-Konvergensi!$C$389;2);PANGKAT(Normalisasi!$L$30-Konvergensi!$D$389;2);PANGKAT(Normalisasi!$M$30-Konvergensi!$E$389;2);PANGKAT(Normalisasi!$N$30-Konvergensi!$F$389;2);PANGKAT(Normalisasi!$O$30-Konvergensi!$G$389;2);PANGKAT(Normalisasi!$P$30-Konvergensi!$H$389;2)))</f>
        <v/>
      </c>
      <c r="D429">
        <f>AKAR(JUMLAH(PANGKAT(Normalisasi!$J$30-Konvergensi!$B$390;2);PANGKAT(Normalisasi!$K$30-Konvergensi!$C$390;2);PANGKAT(Normalisasi!$L$30-Konvergensi!$D$390;2);PANGKAT(Normalisasi!$M$30-Konvergensi!$E$390;2);PANGKAT(Normalisasi!$N$30-Konvergensi!$F$390;2);PANGKAT(Normalisasi!$O$30-Konvergensi!$G$390;2);PANGKAT(Normalisasi!$P$30-Konvergensi!$H$390;2)))</f>
        <v/>
      </c>
      <c r="E429">
        <f>AKAR(JUMLAH(PANGKAT(Normalisasi!$J$30-Konvergensi!$B$391;2);PANGKAT(Normalisasi!$K$30-Konvergensi!$C$391;2);PANGKAT(Normalisasi!$L$30-Konvergensi!$D$391;2);PANGKAT(Normalisasi!$M$30-Konvergensi!$E$391;2);PANGKAT(Normalisasi!$N$30-Konvergensi!$F$391;2);PANGKAT(Normalisasi!$O$30-Konvergensi!$G$391;2);PANGKAT(Normalisasi!$P$30-Konvergensi!$H$391;2)))</f>
        <v/>
      </c>
      <c r="F429">
        <f>JIKA(C429&lt;=D429;=JIKA(C429&lt;=E429;0;2);=JIKA(D429&lt;=E429;1;2))</f>
        <v/>
      </c>
      <c r="G429">
        <f>JUMLAH(JIKA(F429=0;JUMLAH(PANGKAT(Normalisasi!$J$30-Konvergensi!$B$454;2);PANGKAT(Normalisasi!$K$30-Konvergensi!$C$454;2);PANGKAT(Normalisasi!$L$30-Konvergensi!$D$454;2);PANGKAT(Normalisasi!$M$30-Konvergensi!$E$454;2);PANGKAT(Normalisasi!$N$30-Konvergensi!$F$454;2);PANGKAT(Normalisasi!$O$30-Konvergensi!$G$454;2);PANGKAT(Normalisasi!$P$30-Konvergensi!$H$454;2));0);JIKA(F429=1;JUMLAH(PANGKAT(Normalisasi!$J$30-Konvergensi!$B$455;2);PANGKAT(Normalisasi!$K$30-Konvergensi!$C$455;2);PANGKAT(Normalisasi!$L$30-Konvergensi!$D$455;2);PANGKAT(Normalisasi!$M$30-Konvergensi!$E$455;2);PANGKAT(Normalisasi!$N$30-Konvergensi!$F$455;2);PANGKAT(Normalisasi!$O$30-Konvergensi!$G$455;2);PANGKAT(Normalisasi!$P$30-Konvergensi!$H$455;2));0);JIKA(F429=2;JUMLAH(PANGKAT(Normalisasi!$J$30-Konvergensi!$B$456;2);PANGKAT(Normalisasi!$K$30-Konvergensi!$C$456;2);PANGKAT(Normalisasi!$L$30-Konvergensi!$D$456;2);PANGKAT(Normalisasi!$M$30-Konvergensi!$E$456;2);PANGKAT(Normalisasi!$N$30-Konvergensi!$F$456;2);PANGKAT(Normalisasi!$O$30-Konvergensi!$G$456;2);PANGKAT(Normalisasi!$P$30-Konvergensi!$H$456;2));0))</f>
        <v/>
      </c>
      <c r="H429" t="n">
        <v>0</v>
      </c>
      <c r="I429" t="n">
        <v>6.869182835764159</v>
      </c>
    </row>
    <row r="430">
      <c r="A430">
        <f>Data_Awal!A31</f>
        <v/>
      </c>
      <c r="B430">
        <f>Data_Awal!B31</f>
        <v/>
      </c>
      <c r="C430">
        <f>AKAR(JUMLAH(PANGKAT(Normalisasi!$J$31-Konvergensi!$B$389;2);PANGKAT(Normalisasi!$K$31-Konvergensi!$C$389;2);PANGKAT(Normalisasi!$L$31-Konvergensi!$D$389;2);PANGKAT(Normalisasi!$M$31-Konvergensi!$E$389;2);PANGKAT(Normalisasi!$N$31-Konvergensi!$F$389;2);PANGKAT(Normalisasi!$O$31-Konvergensi!$G$389;2);PANGKAT(Normalisasi!$P$31-Konvergensi!$H$389;2)))</f>
        <v/>
      </c>
      <c r="D430">
        <f>AKAR(JUMLAH(PANGKAT(Normalisasi!$J$31-Konvergensi!$B$390;2);PANGKAT(Normalisasi!$K$31-Konvergensi!$C$390;2);PANGKAT(Normalisasi!$L$31-Konvergensi!$D$390;2);PANGKAT(Normalisasi!$M$31-Konvergensi!$E$390;2);PANGKAT(Normalisasi!$N$31-Konvergensi!$F$390;2);PANGKAT(Normalisasi!$O$31-Konvergensi!$G$390;2);PANGKAT(Normalisasi!$P$31-Konvergensi!$H$390;2)))</f>
        <v/>
      </c>
      <c r="E430">
        <f>AKAR(JUMLAH(PANGKAT(Normalisasi!$J$31-Konvergensi!$B$391;2);PANGKAT(Normalisasi!$K$31-Konvergensi!$C$391;2);PANGKAT(Normalisasi!$L$31-Konvergensi!$D$391;2);PANGKAT(Normalisasi!$M$31-Konvergensi!$E$391;2);PANGKAT(Normalisasi!$N$31-Konvergensi!$F$391;2);PANGKAT(Normalisasi!$O$31-Konvergensi!$G$391;2);PANGKAT(Normalisasi!$P$31-Konvergensi!$H$391;2)))</f>
        <v/>
      </c>
      <c r="F430">
        <f>JIKA(C430&lt;=D430;=JIKA(C430&lt;=E430;0;2);=JIKA(D430&lt;=E430;1;2))</f>
        <v/>
      </c>
      <c r="G430">
        <f>JUMLAH(JIKA(F430=0;JUMLAH(PANGKAT(Normalisasi!$J$31-Konvergensi!$B$454;2);PANGKAT(Normalisasi!$K$31-Konvergensi!$C$454;2);PANGKAT(Normalisasi!$L$31-Konvergensi!$D$454;2);PANGKAT(Normalisasi!$M$31-Konvergensi!$E$454;2);PANGKAT(Normalisasi!$N$31-Konvergensi!$F$454;2);PANGKAT(Normalisasi!$O$31-Konvergensi!$G$454;2);PANGKAT(Normalisasi!$P$31-Konvergensi!$H$454;2));0);JIKA(F430=1;JUMLAH(PANGKAT(Normalisasi!$J$31-Konvergensi!$B$455;2);PANGKAT(Normalisasi!$K$31-Konvergensi!$C$455;2);PANGKAT(Normalisasi!$L$31-Konvergensi!$D$455;2);PANGKAT(Normalisasi!$M$31-Konvergensi!$E$455;2);PANGKAT(Normalisasi!$N$31-Konvergensi!$F$455;2);PANGKAT(Normalisasi!$O$31-Konvergensi!$G$455;2);PANGKAT(Normalisasi!$P$31-Konvergensi!$H$455;2));0);JIKA(F430=2;JUMLAH(PANGKAT(Normalisasi!$J$31-Konvergensi!$B$456;2);PANGKAT(Normalisasi!$K$31-Konvergensi!$C$456;2);PANGKAT(Normalisasi!$L$31-Konvergensi!$D$456;2);PANGKAT(Normalisasi!$M$31-Konvergensi!$E$456;2);PANGKAT(Normalisasi!$N$31-Konvergensi!$F$456;2);PANGKAT(Normalisasi!$O$31-Konvergensi!$G$456;2);PANGKAT(Normalisasi!$P$31-Konvergensi!$H$456;2));0))</f>
        <v/>
      </c>
      <c r="H430" t="n">
        <v>0</v>
      </c>
      <c r="I430" t="n">
        <v>6.50532894737723</v>
      </c>
    </row>
    <row r="431">
      <c r="A431">
        <f>Data_Awal!A32</f>
        <v/>
      </c>
      <c r="B431">
        <f>Data_Awal!B32</f>
        <v/>
      </c>
      <c r="C431">
        <f>AKAR(JUMLAH(PANGKAT(Normalisasi!$J$32-Konvergensi!$B$389;2);PANGKAT(Normalisasi!$K$32-Konvergensi!$C$389;2);PANGKAT(Normalisasi!$L$32-Konvergensi!$D$389;2);PANGKAT(Normalisasi!$M$32-Konvergensi!$E$389;2);PANGKAT(Normalisasi!$N$32-Konvergensi!$F$389;2);PANGKAT(Normalisasi!$O$32-Konvergensi!$G$389;2);PANGKAT(Normalisasi!$P$32-Konvergensi!$H$389;2)))</f>
        <v/>
      </c>
      <c r="D431">
        <f>AKAR(JUMLAH(PANGKAT(Normalisasi!$J$32-Konvergensi!$B$390;2);PANGKAT(Normalisasi!$K$32-Konvergensi!$C$390;2);PANGKAT(Normalisasi!$L$32-Konvergensi!$D$390;2);PANGKAT(Normalisasi!$M$32-Konvergensi!$E$390;2);PANGKAT(Normalisasi!$N$32-Konvergensi!$F$390;2);PANGKAT(Normalisasi!$O$32-Konvergensi!$G$390;2);PANGKAT(Normalisasi!$P$32-Konvergensi!$H$390;2)))</f>
        <v/>
      </c>
      <c r="E431">
        <f>AKAR(JUMLAH(PANGKAT(Normalisasi!$J$32-Konvergensi!$B$391;2);PANGKAT(Normalisasi!$K$32-Konvergensi!$C$391;2);PANGKAT(Normalisasi!$L$32-Konvergensi!$D$391;2);PANGKAT(Normalisasi!$M$32-Konvergensi!$E$391;2);PANGKAT(Normalisasi!$N$32-Konvergensi!$F$391;2);PANGKAT(Normalisasi!$O$32-Konvergensi!$G$391;2);PANGKAT(Normalisasi!$P$32-Konvergensi!$H$391;2)))</f>
        <v/>
      </c>
      <c r="F431">
        <f>JIKA(C431&lt;=D431;=JIKA(C431&lt;=E431;0;2);=JIKA(D431&lt;=E431;1;2))</f>
        <v/>
      </c>
      <c r="G431">
        <f>JUMLAH(JIKA(F431=0;JUMLAH(PANGKAT(Normalisasi!$J$32-Konvergensi!$B$454;2);PANGKAT(Normalisasi!$K$32-Konvergensi!$C$454;2);PANGKAT(Normalisasi!$L$32-Konvergensi!$D$454;2);PANGKAT(Normalisasi!$M$32-Konvergensi!$E$454;2);PANGKAT(Normalisasi!$N$32-Konvergensi!$F$454;2);PANGKAT(Normalisasi!$O$32-Konvergensi!$G$454;2);PANGKAT(Normalisasi!$P$32-Konvergensi!$H$454;2));0);JIKA(F431=1;JUMLAH(PANGKAT(Normalisasi!$J$32-Konvergensi!$B$455;2);PANGKAT(Normalisasi!$K$32-Konvergensi!$C$455;2);PANGKAT(Normalisasi!$L$32-Konvergensi!$D$455;2);PANGKAT(Normalisasi!$M$32-Konvergensi!$E$455;2);PANGKAT(Normalisasi!$N$32-Konvergensi!$F$455;2);PANGKAT(Normalisasi!$O$32-Konvergensi!$G$455;2);PANGKAT(Normalisasi!$P$32-Konvergensi!$H$455;2));0);JIKA(F431=2;JUMLAH(PANGKAT(Normalisasi!$J$32-Konvergensi!$B$456;2);PANGKAT(Normalisasi!$K$32-Konvergensi!$C$456;2);PANGKAT(Normalisasi!$L$32-Konvergensi!$D$456;2);PANGKAT(Normalisasi!$M$32-Konvergensi!$E$456;2);PANGKAT(Normalisasi!$N$32-Konvergensi!$F$456;2);PANGKAT(Normalisasi!$O$32-Konvergensi!$G$456;2);PANGKAT(Normalisasi!$P$32-Konvergensi!$H$456;2));0))</f>
        <v/>
      </c>
      <c r="H431" t="n">
        <v>0</v>
      </c>
      <c r="I431" t="n">
        <v>4.86047072599645</v>
      </c>
    </row>
    <row r="432">
      <c r="A432">
        <f>Data_Awal!A33</f>
        <v/>
      </c>
      <c r="B432">
        <f>Data_Awal!B33</f>
        <v/>
      </c>
      <c r="C432">
        <f>AKAR(JUMLAH(PANGKAT(Normalisasi!$J$33-Konvergensi!$B$389;2);PANGKAT(Normalisasi!$K$33-Konvergensi!$C$389;2);PANGKAT(Normalisasi!$L$33-Konvergensi!$D$389;2);PANGKAT(Normalisasi!$M$33-Konvergensi!$E$389;2);PANGKAT(Normalisasi!$N$33-Konvergensi!$F$389;2);PANGKAT(Normalisasi!$O$33-Konvergensi!$G$389;2);PANGKAT(Normalisasi!$P$33-Konvergensi!$H$389;2)))</f>
        <v/>
      </c>
      <c r="D432">
        <f>AKAR(JUMLAH(PANGKAT(Normalisasi!$J$33-Konvergensi!$B$390;2);PANGKAT(Normalisasi!$K$33-Konvergensi!$C$390;2);PANGKAT(Normalisasi!$L$33-Konvergensi!$D$390;2);PANGKAT(Normalisasi!$M$33-Konvergensi!$E$390;2);PANGKAT(Normalisasi!$N$33-Konvergensi!$F$390;2);PANGKAT(Normalisasi!$O$33-Konvergensi!$G$390;2);PANGKAT(Normalisasi!$P$33-Konvergensi!$H$390;2)))</f>
        <v/>
      </c>
      <c r="E432">
        <f>AKAR(JUMLAH(PANGKAT(Normalisasi!$J$33-Konvergensi!$B$391;2);PANGKAT(Normalisasi!$K$33-Konvergensi!$C$391;2);PANGKAT(Normalisasi!$L$33-Konvergensi!$D$391;2);PANGKAT(Normalisasi!$M$33-Konvergensi!$E$391;2);PANGKAT(Normalisasi!$N$33-Konvergensi!$F$391;2);PANGKAT(Normalisasi!$O$33-Konvergensi!$G$391;2);PANGKAT(Normalisasi!$P$33-Konvergensi!$H$391;2)))</f>
        <v/>
      </c>
      <c r="F432">
        <f>JIKA(C432&lt;=D432;=JIKA(C432&lt;=E432;0;2);=JIKA(D432&lt;=E432;1;2))</f>
        <v/>
      </c>
      <c r="G432">
        <f>JUMLAH(JIKA(F432=0;JUMLAH(PANGKAT(Normalisasi!$J$33-Konvergensi!$B$454;2);PANGKAT(Normalisasi!$K$33-Konvergensi!$C$454;2);PANGKAT(Normalisasi!$L$33-Konvergensi!$D$454;2);PANGKAT(Normalisasi!$M$33-Konvergensi!$E$454;2);PANGKAT(Normalisasi!$N$33-Konvergensi!$F$454;2);PANGKAT(Normalisasi!$O$33-Konvergensi!$G$454;2);PANGKAT(Normalisasi!$P$33-Konvergensi!$H$454;2));0);JIKA(F432=1;JUMLAH(PANGKAT(Normalisasi!$J$33-Konvergensi!$B$455;2);PANGKAT(Normalisasi!$K$33-Konvergensi!$C$455;2);PANGKAT(Normalisasi!$L$33-Konvergensi!$D$455;2);PANGKAT(Normalisasi!$M$33-Konvergensi!$E$455;2);PANGKAT(Normalisasi!$N$33-Konvergensi!$F$455;2);PANGKAT(Normalisasi!$O$33-Konvergensi!$G$455;2);PANGKAT(Normalisasi!$P$33-Konvergensi!$H$455;2));0);JIKA(F432=2;JUMLAH(PANGKAT(Normalisasi!$J$33-Konvergensi!$B$456;2);PANGKAT(Normalisasi!$K$33-Konvergensi!$C$456;2);PANGKAT(Normalisasi!$L$33-Konvergensi!$D$456;2);PANGKAT(Normalisasi!$M$33-Konvergensi!$E$456;2);PANGKAT(Normalisasi!$N$33-Konvergensi!$F$456;2);PANGKAT(Normalisasi!$O$33-Konvergensi!$G$456;2);PANGKAT(Normalisasi!$P$33-Konvergensi!$H$456;2));0))</f>
        <v/>
      </c>
      <c r="H432" t="n">
        <v>0</v>
      </c>
      <c r="I432" t="n">
        <v>7.11832638529808</v>
      </c>
    </row>
    <row r="433">
      <c r="A433">
        <f>Data_Awal!A34</f>
        <v/>
      </c>
      <c r="B433">
        <f>Data_Awal!B34</f>
        <v/>
      </c>
      <c r="C433">
        <f>AKAR(JUMLAH(PANGKAT(Normalisasi!$J$34-Konvergensi!$B$389;2);PANGKAT(Normalisasi!$K$34-Konvergensi!$C$389;2);PANGKAT(Normalisasi!$L$34-Konvergensi!$D$389;2);PANGKAT(Normalisasi!$M$34-Konvergensi!$E$389;2);PANGKAT(Normalisasi!$N$34-Konvergensi!$F$389;2);PANGKAT(Normalisasi!$O$34-Konvergensi!$G$389;2);PANGKAT(Normalisasi!$P$34-Konvergensi!$H$389;2)))</f>
        <v/>
      </c>
      <c r="D433">
        <f>AKAR(JUMLAH(PANGKAT(Normalisasi!$J$34-Konvergensi!$B$390;2);PANGKAT(Normalisasi!$K$34-Konvergensi!$C$390;2);PANGKAT(Normalisasi!$L$34-Konvergensi!$D$390;2);PANGKAT(Normalisasi!$M$34-Konvergensi!$E$390;2);PANGKAT(Normalisasi!$N$34-Konvergensi!$F$390;2);PANGKAT(Normalisasi!$O$34-Konvergensi!$G$390;2);PANGKAT(Normalisasi!$P$34-Konvergensi!$H$390;2)))</f>
        <v/>
      </c>
      <c r="E433">
        <f>AKAR(JUMLAH(PANGKAT(Normalisasi!$J$34-Konvergensi!$B$391;2);PANGKAT(Normalisasi!$K$34-Konvergensi!$C$391;2);PANGKAT(Normalisasi!$L$34-Konvergensi!$D$391;2);PANGKAT(Normalisasi!$M$34-Konvergensi!$E$391;2);PANGKAT(Normalisasi!$N$34-Konvergensi!$F$391;2);PANGKAT(Normalisasi!$O$34-Konvergensi!$G$391;2);PANGKAT(Normalisasi!$P$34-Konvergensi!$H$391;2)))</f>
        <v/>
      </c>
      <c r="F433">
        <f>JIKA(C433&lt;=D433;=JIKA(C433&lt;=E433;0;2);=JIKA(D433&lt;=E433;1;2))</f>
        <v/>
      </c>
      <c r="G433">
        <f>JUMLAH(JIKA(F433=0;JUMLAH(PANGKAT(Normalisasi!$J$34-Konvergensi!$B$454;2);PANGKAT(Normalisasi!$K$34-Konvergensi!$C$454;2);PANGKAT(Normalisasi!$L$34-Konvergensi!$D$454;2);PANGKAT(Normalisasi!$M$34-Konvergensi!$E$454;2);PANGKAT(Normalisasi!$N$34-Konvergensi!$F$454;2);PANGKAT(Normalisasi!$O$34-Konvergensi!$G$454;2);PANGKAT(Normalisasi!$P$34-Konvergensi!$H$454;2));0);JIKA(F433=1;JUMLAH(PANGKAT(Normalisasi!$J$34-Konvergensi!$B$455;2);PANGKAT(Normalisasi!$K$34-Konvergensi!$C$455;2);PANGKAT(Normalisasi!$L$34-Konvergensi!$D$455;2);PANGKAT(Normalisasi!$M$34-Konvergensi!$E$455;2);PANGKAT(Normalisasi!$N$34-Konvergensi!$F$455;2);PANGKAT(Normalisasi!$O$34-Konvergensi!$G$455;2);PANGKAT(Normalisasi!$P$34-Konvergensi!$H$455;2));0);JIKA(F433=2;JUMLAH(PANGKAT(Normalisasi!$J$34-Konvergensi!$B$456;2);PANGKAT(Normalisasi!$K$34-Konvergensi!$C$456;2);PANGKAT(Normalisasi!$L$34-Konvergensi!$D$456;2);PANGKAT(Normalisasi!$M$34-Konvergensi!$E$456;2);PANGKAT(Normalisasi!$N$34-Konvergensi!$F$456;2);PANGKAT(Normalisasi!$O$34-Konvergensi!$G$456;2);PANGKAT(Normalisasi!$P$34-Konvergensi!$H$456;2));0))</f>
        <v/>
      </c>
      <c r="H433" t="n">
        <v>1</v>
      </c>
      <c r="I433" t="n">
        <v>1.842633076140355</v>
      </c>
    </row>
    <row r="434">
      <c r="A434">
        <f>Data_Awal!A35</f>
        <v/>
      </c>
      <c r="B434">
        <f>Data_Awal!B35</f>
        <v/>
      </c>
      <c r="C434">
        <f>AKAR(JUMLAH(PANGKAT(Normalisasi!$J$35-Konvergensi!$B$389;2);PANGKAT(Normalisasi!$K$35-Konvergensi!$C$389;2);PANGKAT(Normalisasi!$L$35-Konvergensi!$D$389;2);PANGKAT(Normalisasi!$M$35-Konvergensi!$E$389;2);PANGKAT(Normalisasi!$N$35-Konvergensi!$F$389;2);PANGKAT(Normalisasi!$O$35-Konvergensi!$G$389;2);PANGKAT(Normalisasi!$P$35-Konvergensi!$H$389;2)))</f>
        <v/>
      </c>
      <c r="D434">
        <f>AKAR(JUMLAH(PANGKAT(Normalisasi!$J$35-Konvergensi!$B$390;2);PANGKAT(Normalisasi!$K$35-Konvergensi!$C$390;2);PANGKAT(Normalisasi!$L$35-Konvergensi!$D$390;2);PANGKAT(Normalisasi!$M$35-Konvergensi!$E$390;2);PANGKAT(Normalisasi!$N$35-Konvergensi!$F$390;2);PANGKAT(Normalisasi!$O$35-Konvergensi!$G$390;2);PANGKAT(Normalisasi!$P$35-Konvergensi!$H$390;2)))</f>
        <v/>
      </c>
      <c r="E434">
        <f>AKAR(JUMLAH(PANGKAT(Normalisasi!$J$35-Konvergensi!$B$391;2);PANGKAT(Normalisasi!$K$35-Konvergensi!$C$391;2);PANGKAT(Normalisasi!$L$35-Konvergensi!$D$391;2);PANGKAT(Normalisasi!$M$35-Konvergensi!$E$391;2);PANGKAT(Normalisasi!$N$35-Konvergensi!$F$391;2);PANGKAT(Normalisasi!$O$35-Konvergensi!$G$391;2);PANGKAT(Normalisasi!$P$35-Konvergensi!$H$391;2)))</f>
        <v/>
      </c>
      <c r="F434">
        <f>JIKA(C434&lt;=D434;=JIKA(C434&lt;=E434;0;2);=JIKA(D434&lt;=E434;1;2))</f>
        <v/>
      </c>
      <c r="G434">
        <f>JUMLAH(JIKA(F434=0;JUMLAH(PANGKAT(Normalisasi!$J$35-Konvergensi!$B$454;2);PANGKAT(Normalisasi!$K$35-Konvergensi!$C$454;2);PANGKAT(Normalisasi!$L$35-Konvergensi!$D$454;2);PANGKAT(Normalisasi!$M$35-Konvergensi!$E$454;2);PANGKAT(Normalisasi!$N$35-Konvergensi!$F$454;2);PANGKAT(Normalisasi!$O$35-Konvergensi!$G$454;2);PANGKAT(Normalisasi!$P$35-Konvergensi!$H$454;2));0);JIKA(F434=1;JUMLAH(PANGKAT(Normalisasi!$J$35-Konvergensi!$B$455;2);PANGKAT(Normalisasi!$K$35-Konvergensi!$C$455;2);PANGKAT(Normalisasi!$L$35-Konvergensi!$D$455;2);PANGKAT(Normalisasi!$M$35-Konvergensi!$E$455;2);PANGKAT(Normalisasi!$N$35-Konvergensi!$F$455;2);PANGKAT(Normalisasi!$O$35-Konvergensi!$G$455;2);PANGKAT(Normalisasi!$P$35-Konvergensi!$H$455;2));0);JIKA(F434=2;JUMLAH(PANGKAT(Normalisasi!$J$35-Konvergensi!$B$456;2);PANGKAT(Normalisasi!$K$35-Konvergensi!$C$456;2);PANGKAT(Normalisasi!$L$35-Konvergensi!$D$456;2);PANGKAT(Normalisasi!$M$35-Konvergensi!$E$456;2);PANGKAT(Normalisasi!$N$35-Konvergensi!$F$456;2);PANGKAT(Normalisasi!$O$35-Konvergensi!$G$456;2);PANGKAT(Normalisasi!$P$35-Konvergensi!$H$456;2));0))</f>
        <v/>
      </c>
      <c r="H434" t="n">
        <v>0</v>
      </c>
      <c r="I434" t="n">
        <v>3.926232362017954</v>
      </c>
    </row>
    <row r="435">
      <c r="A435">
        <f>Data_Awal!A36</f>
        <v/>
      </c>
      <c r="B435">
        <f>Data_Awal!B36</f>
        <v/>
      </c>
      <c r="C435">
        <f>AKAR(JUMLAH(PANGKAT(Normalisasi!$J$36-Konvergensi!$B$389;2);PANGKAT(Normalisasi!$K$36-Konvergensi!$C$389;2);PANGKAT(Normalisasi!$L$36-Konvergensi!$D$389;2);PANGKAT(Normalisasi!$M$36-Konvergensi!$E$389;2);PANGKAT(Normalisasi!$N$36-Konvergensi!$F$389;2);PANGKAT(Normalisasi!$O$36-Konvergensi!$G$389;2);PANGKAT(Normalisasi!$P$36-Konvergensi!$H$389;2)))</f>
        <v/>
      </c>
      <c r="D435">
        <f>AKAR(JUMLAH(PANGKAT(Normalisasi!$J$36-Konvergensi!$B$390;2);PANGKAT(Normalisasi!$K$36-Konvergensi!$C$390;2);PANGKAT(Normalisasi!$L$36-Konvergensi!$D$390;2);PANGKAT(Normalisasi!$M$36-Konvergensi!$E$390;2);PANGKAT(Normalisasi!$N$36-Konvergensi!$F$390;2);PANGKAT(Normalisasi!$O$36-Konvergensi!$G$390;2);PANGKAT(Normalisasi!$P$36-Konvergensi!$H$390;2)))</f>
        <v/>
      </c>
      <c r="E435">
        <f>AKAR(JUMLAH(PANGKAT(Normalisasi!$J$36-Konvergensi!$B$391;2);PANGKAT(Normalisasi!$K$36-Konvergensi!$C$391;2);PANGKAT(Normalisasi!$L$36-Konvergensi!$D$391;2);PANGKAT(Normalisasi!$M$36-Konvergensi!$E$391;2);PANGKAT(Normalisasi!$N$36-Konvergensi!$F$391;2);PANGKAT(Normalisasi!$O$36-Konvergensi!$G$391;2);PANGKAT(Normalisasi!$P$36-Konvergensi!$H$391;2)))</f>
        <v/>
      </c>
      <c r="F435">
        <f>JIKA(C435&lt;=D435;=JIKA(C435&lt;=E435;0;2);=JIKA(D435&lt;=E435;1;2))</f>
        <v/>
      </c>
      <c r="G435">
        <f>JUMLAH(JIKA(F435=0;JUMLAH(PANGKAT(Normalisasi!$J$36-Konvergensi!$B$454;2);PANGKAT(Normalisasi!$K$36-Konvergensi!$C$454;2);PANGKAT(Normalisasi!$L$36-Konvergensi!$D$454;2);PANGKAT(Normalisasi!$M$36-Konvergensi!$E$454;2);PANGKAT(Normalisasi!$N$36-Konvergensi!$F$454;2);PANGKAT(Normalisasi!$O$36-Konvergensi!$G$454;2);PANGKAT(Normalisasi!$P$36-Konvergensi!$H$454;2));0);JIKA(F435=1;JUMLAH(PANGKAT(Normalisasi!$J$36-Konvergensi!$B$455;2);PANGKAT(Normalisasi!$K$36-Konvergensi!$C$455;2);PANGKAT(Normalisasi!$L$36-Konvergensi!$D$455;2);PANGKAT(Normalisasi!$M$36-Konvergensi!$E$455;2);PANGKAT(Normalisasi!$N$36-Konvergensi!$F$455;2);PANGKAT(Normalisasi!$O$36-Konvergensi!$G$455;2);PANGKAT(Normalisasi!$P$36-Konvergensi!$H$455;2));0);JIKA(F435=2;JUMLAH(PANGKAT(Normalisasi!$J$36-Konvergensi!$B$456;2);PANGKAT(Normalisasi!$K$36-Konvergensi!$C$456;2);PANGKAT(Normalisasi!$L$36-Konvergensi!$D$456;2);PANGKAT(Normalisasi!$M$36-Konvergensi!$E$456;2);PANGKAT(Normalisasi!$N$36-Konvergensi!$F$456;2);PANGKAT(Normalisasi!$O$36-Konvergensi!$G$456;2);PANGKAT(Normalisasi!$P$36-Konvergensi!$H$456;2));0))</f>
        <v/>
      </c>
      <c r="H435" t="n">
        <v>0</v>
      </c>
      <c r="I435" t="n">
        <v>4.846297495716763</v>
      </c>
    </row>
    <row r="436">
      <c r="A436">
        <f>Data_Awal!A37</f>
        <v/>
      </c>
      <c r="B436">
        <f>Data_Awal!B37</f>
        <v/>
      </c>
      <c r="C436">
        <f>AKAR(JUMLAH(PANGKAT(Normalisasi!$J$37-Konvergensi!$B$389;2);PANGKAT(Normalisasi!$K$37-Konvergensi!$C$389;2);PANGKAT(Normalisasi!$L$37-Konvergensi!$D$389;2);PANGKAT(Normalisasi!$M$37-Konvergensi!$E$389;2);PANGKAT(Normalisasi!$N$37-Konvergensi!$F$389;2);PANGKAT(Normalisasi!$O$37-Konvergensi!$G$389;2);PANGKAT(Normalisasi!$P$37-Konvergensi!$H$389;2)))</f>
        <v/>
      </c>
      <c r="D436">
        <f>AKAR(JUMLAH(PANGKAT(Normalisasi!$J$37-Konvergensi!$B$390;2);PANGKAT(Normalisasi!$K$37-Konvergensi!$C$390;2);PANGKAT(Normalisasi!$L$37-Konvergensi!$D$390;2);PANGKAT(Normalisasi!$M$37-Konvergensi!$E$390;2);PANGKAT(Normalisasi!$N$37-Konvergensi!$F$390;2);PANGKAT(Normalisasi!$O$37-Konvergensi!$G$390;2);PANGKAT(Normalisasi!$P$37-Konvergensi!$H$390;2)))</f>
        <v/>
      </c>
      <c r="E436">
        <f>AKAR(JUMLAH(PANGKAT(Normalisasi!$J$37-Konvergensi!$B$391;2);PANGKAT(Normalisasi!$K$37-Konvergensi!$C$391;2);PANGKAT(Normalisasi!$L$37-Konvergensi!$D$391;2);PANGKAT(Normalisasi!$M$37-Konvergensi!$E$391;2);PANGKAT(Normalisasi!$N$37-Konvergensi!$F$391;2);PANGKAT(Normalisasi!$O$37-Konvergensi!$G$391;2);PANGKAT(Normalisasi!$P$37-Konvergensi!$H$391;2)))</f>
        <v/>
      </c>
      <c r="F436">
        <f>JIKA(C436&lt;=D436;=JIKA(C436&lt;=E436;0;2);=JIKA(D436&lt;=E436;1;2))</f>
        <v/>
      </c>
      <c r="G436">
        <f>JUMLAH(JIKA(F436=0;JUMLAH(PANGKAT(Normalisasi!$J$37-Konvergensi!$B$454;2);PANGKAT(Normalisasi!$K$37-Konvergensi!$C$454;2);PANGKAT(Normalisasi!$L$37-Konvergensi!$D$454;2);PANGKAT(Normalisasi!$M$37-Konvergensi!$E$454;2);PANGKAT(Normalisasi!$N$37-Konvergensi!$F$454;2);PANGKAT(Normalisasi!$O$37-Konvergensi!$G$454;2);PANGKAT(Normalisasi!$P$37-Konvergensi!$H$454;2));0);JIKA(F436=1;JUMLAH(PANGKAT(Normalisasi!$J$37-Konvergensi!$B$455;2);PANGKAT(Normalisasi!$K$37-Konvergensi!$C$455;2);PANGKAT(Normalisasi!$L$37-Konvergensi!$D$455;2);PANGKAT(Normalisasi!$M$37-Konvergensi!$E$455;2);PANGKAT(Normalisasi!$N$37-Konvergensi!$F$455;2);PANGKAT(Normalisasi!$O$37-Konvergensi!$G$455;2);PANGKAT(Normalisasi!$P$37-Konvergensi!$H$455;2));0);JIKA(F436=2;JUMLAH(PANGKAT(Normalisasi!$J$37-Konvergensi!$B$456;2);PANGKAT(Normalisasi!$K$37-Konvergensi!$C$456;2);PANGKAT(Normalisasi!$L$37-Konvergensi!$D$456;2);PANGKAT(Normalisasi!$M$37-Konvergensi!$E$456;2);PANGKAT(Normalisasi!$N$37-Konvergensi!$F$456;2);PANGKAT(Normalisasi!$O$37-Konvergensi!$G$456;2);PANGKAT(Normalisasi!$P$37-Konvergensi!$H$456;2));0))</f>
        <v/>
      </c>
      <c r="H436" t="n">
        <v>0</v>
      </c>
      <c r="I436" t="n">
        <v>6.024279882557855</v>
      </c>
    </row>
    <row r="437">
      <c r="A437">
        <f>Data_Awal!A38</f>
        <v/>
      </c>
      <c r="B437">
        <f>Data_Awal!B38</f>
        <v/>
      </c>
      <c r="C437">
        <f>AKAR(JUMLAH(PANGKAT(Normalisasi!$J$38-Konvergensi!$B$389;2);PANGKAT(Normalisasi!$K$38-Konvergensi!$C$389;2);PANGKAT(Normalisasi!$L$38-Konvergensi!$D$389;2);PANGKAT(Normalisasi!$M$38-Konvergensi!$E$389;2);PANGKAT(Normalisasi!$N$38-Konvergensi!$F$389;2);PANGKAT(Normalisasi!$O$38-Konvergensi!$G$389;2);PANGKAT(Normalisasi!$P$38-Konvergensi!$H$389;2)))</f>
        <v/>
      </c>
      <c r="D437">
        <f>AKAR(JUMLAH(PANGKAT(Normalisasi!$J$38-Konvergensi!$B$390;2);PANGKAT(Normalisasi!$K$38-Konvergensi!$C$390;2);PANGKAT(Normalisasi!$L$38-Konvergensi!$D$390;2);PANGKAT(Normalisasi!$M$38-Konvergensi!$E$390;2);PANGKAT(Normalisasi!$N$38-Konvergensi!$F$390;2);PANGKAT(Normalisasi!$O$38-Konvergensi!$G$390;2);PANGKAT(Normalisasi!$P$38-Konvergensi!$H$390;2)))</f>
        <v/>
      </c>
      <c r="E437">
        <f>AKAR(JUMLAH(PANGKAT(Normalisasi!$J$38-Konvergensi!$B$391;2);PANGKAT(Normalisasi!$K$38-Konvergensi!$C$391;2);PANGKAT(Normalisasi!$L$38-Konvergensi!$D$391;2);PANGKAT(Normalisasi!$M$38-Konvergensi!$E$391;2);PANGKAT(Normalisasi!$N$38-Konvergensi!$F$391;2);PANGKAT(Normalisasi!$O$38-Konvergensi!$G$391;2);PANGKAT(Normalisasi!$P$38-Konvergensi!$H$391;2)))</f>
        <v/>
      </c>
      <c r="F437">
        <f>JIKA(C437&lt;=D437;=JIKA(C437&lt;=E437;0;2);=JIKA(D437&lt;=E437;1;2))</f>
        <v/>
      </c>
      <c r="G437">
        <f>JUMLAH(JIKA(F437=0;JUMLAH(PANGKAT(Normalisasi!$J$38-Konvergensi!$B$454;2);PANGKAT(Normalisasi!$K$38-Konvergensi!$C$454;2);PANGKAT(Normalisasi!$L$38-Konvergensi!$D$454;2);PANGKAT(Normalisasi!$M$38-Konvergensi!$E$454;2);PANGKAT(Normalisasi!$N$38-Konvergensi!$F$454;2);PANGKAT(Normalisasi!$O$38-Konvergensi!$G$454;2);PANGKAT(Normalisasi!$P$38-Konvergensi!$H$454;2));0);JIKA(F437=1;JUMLAH(PANGKAT(Normalisasi!$J$38-Konvergensi!$B$455;2);PANGKAT(Normalisasi!$K$38-Konvergensi!$C$455;2);PANGKAT(Normalisasi!$L$38-Konvergensi!$D$455;2);PANGKAT(Normalisasi!$M$38-Konvergensi!$E$455;2);PANGKAT(Normalisasi!$N$38-Konvergensi!$F$455;2);PANGKAT(Normalisasi!$O$38-Konvergensi!$G$455;2);PANGKAT(Normalisasi!$P$38-Konvergensi!$H$455;2));0);JIKA(F437=2;JUMLAH(PANGKAT(Normalisasi!$J$38-Konvergensi!$B$456;2);PANGKAT(Normalisasi!$K$38-Konvergensi!$C$456;2);PANGKAT(Normalisasi!$L$38-Konvergensi!$D$456;2);PANGKAT(Normalisasi!$M$38-Konvergensi!$E$456;2);PANGKAT(Normalisasi!$N$38-Konvergensi!$F$456;2);PANGKAT(Normalisasi!$O$38-Konvergensi!$G$456;2);PANGKAT(Normalisasi!$P$38-Konvergensi!$H$456;2));0))</f>
        <v/>
      </c>
      <c r="H437" t="n">
        <v>1</v>
      </c>
      <c r="I437" t="n">
        <v>3.980198617838536</v>
      </c>
    </row>
    <row r="438">
      <c r="A438">
        <f>Data_Awal!A39</f>
        <v/>
      </c>
      <c r="B438">
        <f>Data_Awal!B39</f>
        <v/>
      </c>
      <c r="C438">
        <f>AKAR(JUMLAH(PANGKAT(Normalisasi!$J$39-Konvergensi!$B$389;2);PANGKAT(Normalisasi!$K$39-Konvergensi!$C$389;2);PANGKAT(Normalisasi!$L$39-Konvergensi!$D$389;2);PANGKAT(Normalisasi!$M$39-Konvergensi!$E$389;2);PANGKAT(Normalisasi!$N$39-Konvergensi!$F$389;2);PANGKAT(Normalisasi!$O$39-Konvergensi!$G$389;2);PANGKAT(Normalisasi!$P$39-Konvergensi!$H$389;2)))</f>
        <v/>
      </c>
      <c r="D438">
        <f>AKAR(JUMLAH(PANGKAT(Normalisasi!$J$39-Konvergensi!$B$390;2);PANGKAT(Normalisasi!$K$39-Konvergensi!$C$390;2);PANGKAT(Normalisasi!$L$39-Konvergensi!$D$390;2);PANGKAT(Normalisasi!$M$39-Konvergensi!$E$390;2);PANGKAT(Normalisasi!$N$39-Konvergensi!$F$390;2);PANGKAT(Normalisasi!$O$39-Konvergensi!$G$390;2);PANGKAT(Normalisasi!$P$39-Konvergensi!$H$390;2)))</f>
        <v/>
      </c>
      <c r="E438">
        <f>AKAR(JUMLAH(PANGKAT(Normalisasi!$J$39-Konvergensi!$B$391;2);PANGKAT(Normalisasi!$K$39-Konvergensi!$C$391;2);PANGKAT(Normalisasi!$L$39-Konvergensi!$D$391;2);PANGKAT(Normalisasi!$M$39-Konvergensi!$E$391;2);PANGKAT(Normalisasi!$N$39-Konvergensi!$F$391;2);PANGKAT(Normalisasi!$O$39-Konvergensi!$G$391;2);PANGKAT(Normalisasi!$P$39-Konvergensi!$H$391;2)))</f>
        <v/>
      </c>
      <c r="F438">
        <f>JIKA(C438&lt;=D438;=JIKA(C438&lt;=E438;0;2);=JIKA(D438&lt;=E438;1;2))</f>
        <v/>
      </c>
      <c r="G438">
        <f>JUMLAH(JIKA(F438=0;JUMLAH(PANGKAT(Normalisasi!$J$39-Konvergensi!$B$454;2);PANGKAT(Normalisasi!$K$39-Konvergensi!$C$454;2);PANGKAT(Normalisasi!$L$39-Konvergensi!$D$454;2);PANGKAT(Normalisasi!$M$39-Konvergensi!$E$454;2);PANGKAT(Normalisasi!$N$39-Konvergensi!$F$454;2);PANGKAT(Normalisasi!$O$39-Konvergensi!$G$454;2);PANGKAT(Normalisasi!$P$39-Konvergensi!$H$454;2));0);JIKA(F438=1;JUMLAH(PANGKAT(Normalisasi!$J$39-Konvergensi!$B$455;2);PANGKAT(Normalisasi!$K$39-Konvergensi!$C$455;2);PANGKAT(Normalisasi!$L$39-Konvergensi!$D$455;2);PANGKAT(Normalisasi!$M$39-Konvergensi!$E$455;2);PANGKAT(Normalisasi!$N$39-Konvergensi!$F$455;2);PANGKAT(Normalisasi!$O$39-Konvergensi!$G$455;2);PANGKAT(Normalisasi!$P$39-Konvergensi!$H$455;2));0);JIKA(F438=2;JUMLAH(PANGKAT(Normalisasi!$J$39-Konvergensi!$B$456;2);PANGKAT(Normalisasi!$K$39-Konvergensi!$C$456;2);PANGKAT(Normalisasi!$L$39-Konvergensi!$D$456;2);PANGKAT(Normalisasi!$M$39-Konvergensi!$E$456;2);PANGKAT(Normalisasi!$N$39-Konvergensi!$F$456;2);PANGKAT(Normalisasi!$O$39-Konvergensi!$G$456;2);PANGKAT(Normalisasi!$P$39-Konvergensi!$H$456;2));0))</f>
        <v/>
      </c>
      <c r="H438" t="n">
        <v>0</v>
      </c>
      <c r="I438" t="n">
        <v>9.851087731914685</v>
      </c>
    </row>
    <row r="439">
      <c r="A439">
        <f>Data_Awal!A40</f>
        <v/>
      </c>
      <c r="B439">
        <f>Data_Awal!B40</f>
        <v/>
      </c>
      <c r="C439">
        <f>AKAR(JUMLAH(PANGKAT(Normalisasi!$J$40-Konvergensi!$B$389;2);PANGKAT(Normalisasi!$K$40-Konvergensi!$C$389;2);PANGKAT(Normalisasi!$L$40-Konvergensi!$D$389;2);PANGKAT(Normalisasi!$M$40-Konvergensi!$E$389;2);PANGKAT(Normalisasi!$N$40-Konvergensi!$F$389;2);PANGKAT(Normalisasi!$O$40-Konvergensi!$G$389;2);PANGKAT(Normalisasi!$P$40-Konvergensi!$H$389;2)))</f>
        <v/>
      </c>
      <c r="D439">
        <f>AKAR(JUMLAH(PANGKAT(Normalisasi!$J$40-Konvergensi!$B$390;2);PANGKAT(Normalisasi!$K$40-Konvergensi!$C$390;2);PANGKAT(Normalisasi!$L$40-Konvergensi!$D$390;2);PANGKAT(Normalisasi!$M$40-Konvergensi!$E$390;2);PANGKAT(Normalisasi!$N$40-Konvergensi!$F$390;2);PANGKAT(Normalisasi!$O$40-Konvergensi!$G$390;2);PANGKAT(Normalisasi!$P$40-Konvergensi!$H$390;2)))</f>
        <v/>
      </c>
      <c r="E439">
        <f>AKAR(JUMLAH(PANGKAT(Normalisasi!$J$40-Konvergensi!$B$391;2);PANGKAT(Normalisasi!$K$40-Konvergensi!$C$391;2);PANGKAT(Normalisasi!$L$40-Konvergensi!$D$391;2);PANGKAT(Normalisasi!$M$40-Konvergensi!$E$391;2);PANGKAT(Normalisasi!$N$40-Konvergensi!$F$391;2);PANGKAT(Normalisasi!$O$40-Konvergensi!$G$391;2);PANGKAT(Normalisasi!$P$40-Konvergensi!$H$391;2)))</f>
        <v/>
      </c>
      <c r="F439">
        <f>JIKA(C439&lt;=D439;=JIKA(C439&lt;=E439;0;2);=JIKA(D439&lt;=E439;1;2))</f>
        <v/>
      </c>
      <c r="G439">
        <f>JUMLAH(JIKA(F439=0;JUMLAH(PANGKAT(Normalisasi!$J$40-Konvergensi!$B$454;2);PANGKAT(Normalisasi!$K$40-Konvergensi!$C$454;2);PANGKAT(Normalisasi!$L$40-Konvergensi!$D$454;2);PANGKAT(Normalisasi!$M$40-Konvergensi!$E$454;2);PANGKAT(Normalisasi!$N$40-Konvergensi!$F$454;2);PANGKAT(Normalisasi!$O$40-Konvergensi!$G$454;2);PANGKAT(Normalisasi!$P$40-Konvergensi!$H$454;2));0);JIKA(F439=1;JUMLAH(PANGKAT(Normalisasi!$J$40-Konvergensi!$B$455;2);PANGKAT(Normalisasi!$K$40-Konvergensi!$C$455;2);PANGKAT(Normalisasi!$L$40-Konvergensi!$D$455;2);PANGKAT(Normalisasi!$M$40-Konvergensi!$E$455;2);PANGKAT(Normalisasi!$N$40-Konvergensi!$F$455;2);PANGKAT(Normalisasi!$O$40-Konvergensi!$G$455;2);PANGKAT(Normalisasi!$P$40-Konvergensi!$H$455;2));0);JIKA(F439=2;JUMLAH(PANGKAT(Normalisasi!$J$40-Konvergensi!$B$456;2);PANGKAT(Normalisasi!$K$40-Konvergensi!$C$456;2);PANGKAT(Normalisasi!$L$40-Konvergensi!$D$456;2);PANGKAT(Normalisasi!$M$40-Konvergensi!$E$456;2);PANGKAT(Normalisasi!$N$40-Konvergensi!$F$456;2);PANGKAT(Normalisasi!$O$40-Konvergensi!$G$456;2);PANGKAT(Normalisasi!$P$40-Konvergensi!$H$456;2));0))</f>
        <v/>
      </c>
      <c r="H439" t="n">
        <v>1</v>
      </c>
      <c r="I439" t="n">
        <v>5.377265241702048</v>
      </c>
    </row>
    <row r="440">
      <c r="A440">
        <f>Data_Awal!A41</f>
        <v/>
      </c>
      <c r="B440">
        <f>Data_Awal!B41</f>
        <v/>
      </c>
      <c r="C440">
        <f>AKAR(JUMLAH(PANGKAT(Normalisasi!$J$41-Konvergensi!$B$389;2);PANGKAT(Normalisasi!$K$41-Konvergensi!$C$389;2);PANGKAT(Normalisasi!$L$41-Konvergensi!$D$389;2);PANGKAT(Normalisasi!$M$41-Konvergensi!$E$389;2);PANGKAT(Normalisasi!$N$41-Konvergensi!$F$389;2);PANGKAT(Normalisasi!$O$41-Konvergensi!$G$389;2);PANGKAT(Normalisasi!$P$41-Konvergensi!$H$389;2)))</f>
        <v/>
      </c>
      <c r="D440">
        <f>AKAR(JUMLAH(PANGKAT(Normalisasi!$J$41-Konvergensi!$B$390;2);PANGKAT(Normalisasi!$K$41-Konvergensi!$C$390;2);PANGKAT(Normalisasi!$L$41-Konvergensi!$D$390;2);PANGKAT(Normalisasi!$M$41-Konvergensi!$E$390;2);PANGKAT(Normalisasi!$N$41-Konvergensi!$F$390;2);PANGKAT(Normalisasi!$O$41-Konvergensi!$G$390;2);PANGKAT(Normalisasi!$P$41-Konvergensi!$H$390;2)))</f>
        <v/>
      </c>
      <c r="E440">
        <f>AKAR(JUMLAH(PANGKAT(Normalisasi!$J$41-Konvergensi!$B$391;2);PANGKAT(Normalisasi!$K$41-Konvergensi!$C$391;2);PANGKAT(Normalisasi!$L$41-Konvergensi!$D$391;2);PANGKAT(Normalisasi!$M$41-Konvergensi!$E$391;2);PANGKAT(Normalisasi!$N$41-Konvergensi!$F$391;2);PANGKAT(Normalisasi!$O$41-Konvergensi!$G$391;2);PANGKAT(Normalisasi!$P$41-Konvergensi!$H$391;2)))</f>
        <v/>
      </c>
      <c r="F440">
        <f>JIKA(C440&lt;=D440;=JIKA(C440&lt;=E440;0;2);=JIKA(D440&lt;=E440;1;2))</f>
        <v/>
      </c>
      <c r="G440">
        <f>JUMLAH(JIKA(F440=0;JUMLAH(PANGKAT(Normalisasi!$J$41-Konvergensi!$B$454;2);PANGKAT(Normalisasi!$K$41-Konvergensi!$C$454;2);PANGKAT(Normalisasi!$L$41-Konvergensi!$D$454;2);PANGKAT(Normalisasi!$M$41-Konvergensi!$E$454;2);PANGKAT(Normalisasi!$N$41-Konvergensi!$F$454;2);PANGKAT(Normalisasi!$O$41-Konvergensi!$G$454;2);PANGKAT(Normalisasi!$P$41-Konvergensi!$H$454;2));0);JIKA(F440=1;JUMLAH(PANGKAT(Normalisasi!$J$41-Konvergensi!$B$455;2);PANGKAT(Normalisasi!$K$41-Konvergensi!$C$455;2);PANGKAT(Normalisasi!$L$41-Konvergensi!$D$455;2);PANGKAT(Normalisasi!$M$41-Konvergensi!$E$455;2);PANGKAT(Normalisasi!$N$41-Konvergensi!$F$455;2);PANGKAT(Normalisasi!$O$41-Konvergensi!$G$455;2);PANGKAT(Normalisasi!$P$41-Konvergensi!$H$455;2));0);JIKA(F440=2;JUMLAH(PANGKAT(Normalisasi!$J$41-Konvergensi!$B$456;2);PANGKAT(Normalisasi!$K$41-Konvergensi!$C$456;2);PANGKAT(Normalisasi!$L$41-Konvergensi!$D$456;2);PANGKAT(Normalisasi!$M$41-Konvergensi!$E$456;2);PANGKAT(Normalisasi!$N$41-Konvergensi!$F$456;2);PANGKAT(Normalisasi!$O$41-Konvergensi!$G$456;2);PANGKAT(Normalisasi!$P$41-Konvergensi!$H$456;2));0))</f>
        <v/>
      </c>
      <c r="H440" t="n">
        <v>1</v>
      </c>
      <c r="I440" t="n">
        <v>6.528710760880894</v>
      </c>
    </row>
    <row r="441">
      <c r="A441">
        <f>Data_Awal!A42</f>
        <v/>
      </c>
      <c r="B441">
        <f>Data_Awal!B42</f>
        <v/>
      </c>
      <c r="C441">
        <f>AKAR(JUMLAH(PANGKAT(Normalisasi!$J$42-Konvergensi!$B$389;2);PANGKAT(Normalisasi!$K$42-Konvergensi!$C$389;2);PANGKAT(Normalisasi!$L$42-Konvergensi!$D$389;2);PANGKAT(Normalisasi!$M$42-Konvergensi!$E$389;2);PANGKAT(Normalisasi!$N$42-Konvergensi!$F$389;2);PANGKAT(Normalisasi!$O$42-Konvergensi!$G$389;2);PANGKAT(Normalisasi!$P$42-Konvergensi!$H$389;2)))</f>
        <v/>
      </c>
      <c r="D441">
        <f>AKAR(JUMLAH(PANGKAT(Normalisasi!$J$42-Konvergensi!$B$390;2);PANGKAT(Normalisasi!$K$42-Konvergensi!$C$390;2);PANGKAT(Normalisasi!$L$42-Konvergensi!$D$390;2);PANGKAT(Normalisasi!$M$42-Konvergensi!$E$390;2);PANGKAT(Normalisasi!$N$42-Konvergensi!$F$390;2);PANGKAT(Normalisasi!$O$42-Konvergensi!$G$390;2);PANGKAT(Normalisasi!$P$42-Konvergensi!$H$390;2)))</f>
        <v/>
      </c>
      <c r="E441">
        <f>AKAR(JUMLAH(PANGKAT(Normalisasi!$J$42-Konvergensi!$B$391;2);PANGKAT(Normalisasi!$K$42-Konvergensi!$C$391;2);PANGKAT(Normalisasi!$L$42-Konvergensi!$D$391;2);PANGKAT(Normalisasi!$M$42-Konvergensi!$E$391;2);PANGKAT(Normalisasi!$N$42-Konvergensi!$F$391;2);PANGKAT(Normalisasi!$O$42-Konvergensi!$G$391;2);PANGKAT(Normalisasi!$P$42-Konvergensi!$H$391;2)))</f>
        <v/>
      </c>
      <c r="F441">
        <f>JIKA(C441&lt;=D441;=JIKA(C441&lt;=E441;0;2);=JIKA(D441&lt;=E441;1;2))</f>
        <v/>
      </c>
      <c r="G441">
        <f>JUMLAH(JIKA(F441=0;JUMLAH(PANGKAT(Normalisasi!$J$42-Konvergensi!$B$454;2);PANGKAT(Normalisasi!$K$42-Konvergensi!$C$454;2);PANGKAT(Normalisasi!$L$42-Konvergensi!$D$454;2);PANGKAT(Normalisasi!$M$42-Konvergensi!$E$454;2);PANGKAT(Normalisasi!$N$42-Konvergensi!$F$454;2);PANGKAT(Normalisasi!$O$42-Konvergensi!$G$454;2);PANGKAT(Normalisasi!$P$42-Konvergensi!$H$454;2));0);JIKA(F441=1;JUMLAH(PANGKAT(Normalisasi!$J$42-Konvergensi!$B$455;2);PANGKAT(Normalisasi!$K$42-Konvergensi!$C$455;2);PANGKAT(Normalisasi!$L$42-Konvergensi!$D$455;2);PANGKAT(Normalisasi!$M$42-Konvergensi!$E$455;2);PANGKAT(Normalisasi!$N$42-Konvergensi!$F$455;2);PANGKAT(Normalisasi!$O$42-Konvergensi!$G$455;2);PANGKAT(Normalisasi!$P$42-Konvergensi!$H$455;2));0);JIKA(F441=2;JUMLAH(PANGKAT(Normalisasi!$J$42-Konvergensi!$B$456;2);PANGKAT(Normalisasi!$K$42-Konvergensi!$C$456;2);PANGKAT(Normalisasi!$L$42-Konvergensi!$D$456;2);PANGKAT(Normalisasi!$M$42-Konvergensi!$E$456;2);PANGKAT(Normalisasi!$N$42-Konvergensi!$F$456;2);PANGKAT(Normalisasi!$O$42-Konvergensi!$G$456;2);PANGKAT(Normalisasi!$P$42-Konvergensi!$H$456;2));0))</f>
        <v/>
      </c>
      <c r="H441" t="n">
        <v>0</v>
      </c>
      <c r="I441" t="n">
        <v>2.25574710683605</v>
      </c>
    </row>
    <row r="442">
      <c r="A442">
        <f>Data_Awal!A43</f>
        <v/>
      </c>
      <c r="B442">
        <f>Data_Awal!B43</f>
        <v/>
      </c>
      <c r="C442">
        <f>AKAR(JUMLAH(PANGKAT(Normalisasi!$J$43-Konvergensi!$B$389;2);PANGKAT(Normalisasi!$K$43-Konvergensi!$C$389;2);PANGKAT(Normalisasi!$L$43-Konvergensi!$D$389;2);PANGKAT(Normalisasi!$M$43-Konvergensi!$E$389;2);PANGKAT(Normalisasi!$N$43-Konvergensi!$F$389;2);PANGKAT(Normalisasi!$O$43-Konvergensi!$G$389;2);PANGKAT(Normalisasi!$P$43-Konvergensi!$H$389;2)))</f>
        <v/>
      </c>
      <c r="D442">
        <f>AKAR(JUMLAH(PANGKAT(Normalisasi!$J$43-Konvergensi!$B$390;2);PANGKAT(Normalisasi!$K$43-Konvergensi!$C$390;2);PANGKAT(Normalisasi!$L$43-Konvergensi!$D$390;2);PANGKAT(Normalisasi!$M$43-Konvergensi!$E$390;2);PANGKAT(Normalisasi!$N$43-Konvergensi!$F$390;2);PANGKAT(Normalisasi!$O$43-Konvergensi!$G$390;2);PANGKAT(Normalisasi!$P$43-Konvergensi!$H$390;2)))</f>
        <v/>
      </c>
      <c r="E442">
        <f>AKAR(JUMLAH(PANGKAT(Normalisasi!$J$43-Konvergensi!$B$391;2);PANGKAT(Normalisasi!$K$43-Konvergensi!$C$391;2);PANGKAT(Normalisasi!$L$43-Konvergensi!$D$391;2);PANGKAT(Normalisasi!$M$43-Konvergensi!$E$391;2);PANGKAT(Normalisasi!$N$43-Konvergensi!$F$391;2);PANGKAT(Normalisasi!$O$43-Konvergensi!$G$391;2);PANGKAT(Normalisasi!$P$43-Konvergensi!$H$391;2)))</f>
        <v/>
      </c>
      <c r="F442">
        <f>JIKA(C442&lt;=D442;=JIKA(C442&lt;=E442;0;2);=JIKA(D442&lt;=E442;1;2))</f>
        <v/>
      </c>
      <c r="G442">
        <f>JUMLAH(JIKA(F442=0;JUMLAH(PANGKAT(Normalisasi!$J$43-Konvergensi!$B$454;2);PANGKAT(Normalisasi!$K$43-Konvergensi!$C$454;2);PANGKAT(Normalisasi!$L$43-Konvergensi!$D$454;2);PANGKAT(Normalisasi!$M$43-Konvergensi!$E$454;2);PANGKAT(Normalisasi!$N$43-Konvergensi!$F$454;2);PANGKAT(Normalisasi!$O$43-Konvergensi!$G$454;2);PANGKAT(Normalisasi!$P$43-Konvergensi!$H$454;2));0);JIKA(F442=1;JUMLAH(PANGKAT(Normalisasi!$J$43-Konvergensi!$B$455;2);PANGKAT(Normalisasi!$K$43-Konvergensi!$C$455;2);PANGKAT(Normalisasi!$L$43-Konvergensi!$D$455;2);PANGKAT(Normalisasi!$M$43-Konvergensi!$E$455;2);PANGKAT(Normalisasi!$N$43-Konvergensi!$F$455;2);PANGKAT(Normalisasi!$O$43-Konvergensi!$G$455;2);PANGKAT(Normalisasi!$P$43-Konvergensi!$H$455;2));0);JIKA(F442=2;JUMLAH(PANGKAT(Normalisasi!$J$43-Konvergensi!$B$456;2);PANGKAT(Normalisasi!$K$43-Konvergensi!$C$456;2);PANGKAT(Normalisasi!$L$43-Konvergensi!$D$456;2);PANGKAT(Normalisasi!$M$43-Konvergensi!$E$456;2);PANGKAT(Normalisasi!$N$43-Konvergensi!$F$456;2);PANGKAT(Normalisasi!$O$43-Konvergensi!$G$456;2);PANGKAT(Normalisasi!$P$43-Konvergensi!$H$456;2));0))</f>
        <v/>
      </c>
      <c r="H442" t="n">
        <v>2</v>
      </c>
      <c r="I442" t="n">
        <v>5.389216270738052</v>
      </c>
    </row>
    <row r="443">
      <c r="A443">
        <f>Data_Awal!A44</f>
        <v/>
      </c>
      <c r="B443">
        <f>Data_Awal!B44</f>
        <v/>
      </c>
      <c r="C443">
        <f>AKAR(JUMLAH(PANGKAT(Normalisasi!$J$44-Konvergensi!$B$389;2);PANGKAT(Normalisasi!$K$44-Konvergensi!$C$389;2);PANGKAT(Normalisasi!$L$44-Konvergensi!$D$389;2);PANGKAT(Normalisasi!$M$44-Konvergensi!$E$389;2);PANGKAT(Normalisasi!$N$44-Konvergensi!$F$389;2);PANGKAT(Normalisasi!$O$44-Konvergensi!$G$389;2);PANGKAT(Normalisasi!$P$44-Konvergensi!$H$389;2)))</f>
        <v/>
      </c>
      <c r="D443">
        <f>AKAR(JUMLAH(PANGKAT(Normalisasi!$J$44-Konvergensi!$B$390;2);PANGKAT(Normalisasi!$K$44-Konvergensi!$C$390;2);PANGKAT(Normalisasi!$L$44-Konvergensi!$D$390;2);PANGKAT(Normalisasi!$M$44-Konvergensi!$E$390;2);PANGKAT(Normalisasi!$N$44-Konvergensi!$F$390;2);PANGKAT(Normalisasi!$O$44-Konvergensi!$G$390;2);PANGKAT(Normalisasi!$P$44-Konvergensi!$H$390;2)))</f>
        <v/>
      </c>
      <c r="E443">
        <f>AKAR(JUMLAH(PANGKAT(Normalisasi!$J$44-Konvergensi!$B$391;2);PANGKAT(Normalisasi!$K$44-Konvergensi!$C$391;2);PANGKAT(Normalisasi!$L$44-Konvergensi!$D$391;2);PANGKAT(Normalisasi!$M$44-Konvergensi!$E$391;2);PANGKAT(Normalisasi!$N$44-Konvergensi!$F$391;2);PANGKAT(Normalisasi!$O$44-Konvergensi!$G$391;2);PANGKAT(Normalisasi!$P$44-Konvergensi!$H$391;2)))</f>
        <v/>
      </c>
      <c r="F443">
        <f>JIKA(C443&lt;=D443;=JIKA(C443&lt;=E443;0;2);=JIKA(D443&lt;=E443;1;2))</f>
        <v/>
      </c>
      <c r="G443">
        <f>JUMLAH(JIKA(F443=0;JUMLAH(PANGKAT(Normalisasi!$J$44-Konvergensi!$B$454;2);PANGKAT(Normalisasi!$K$44-Konvergensi!$C$454;2);PANGKAT(Normalisasi!$L$44-Konvergensi!$D$454;2);PANGKAT(Normalisasi!$M$44-Konvergensi!$E$454;2);PANGKAT(Normalisasi!$N$44-Konvergensi!$F$454;2);PANGKAT(Normalisasi!$O$44-Konvergensi!$G$454;2);PANGKAT(Normalisasi!$P$44-Konvergensi!$H$454;2));0);JIKA(F443=1;JUMLAH(PANGKAT(Normalisasi!$J$44-Konvergensi!$B$455;2);PANGKAT(Normalisasi!$K$44-Konvergensi!$C$455;2);PANGKAT(Normalisasi!$L$44-Konvergensi!$D$455;2);PANGKAT(Normalisasi!$M$44-Konvergensi!$E$455;2);PANGKAT(Normalisasi!$N$44-Konvergensi!$F$455;2);PANGKAT(Normalisasi!$O$44-Konvergensi!$G$455;2);PANGKAT(Normalisasi!$P$44-Konvergensi!$H$455;2));0);JIKA(F443=2;JUMLAH(PANGKAT(Normalisasi!$J$44-Konvergensi!$B$456;2);PANGKAT(Normalisasi!$K$44-Konvergensi!$C$456;2);PANGKAT(Normalisasi!$L$44-Konvergensi!$D$456;2);PANGKAT(Normalisasi!$M$44-Konvergensi!$E$456;2);PANGKAT(Normalisasi!$N$44-Konvergensi!$F$456;2);PANGKAT(Normalisasi!$O$44-Konvergensi!$G$456;2);PANGKAT(Normalisasi!$P$44-Konvergensi!$H$456;2));0))</f>
        <v/>
      </c>
      <c r="H443" t="n">
        <v>2</v>
      </c>
      <c r="I443" t="n">
        <v>2.315607106907307</v>
      </c>
    </row>
    <row r="444">
      <c r="A444">
        <f>Data_Awal!A45</f>
        <v/>
      </c>
      <c r="B444">
        <f>Data_Awal!B45</f>
        <v/>
      </c>
      <c r="C444">
        <f>AKAR(JUMLAH(PANGKAT(Normalisasi!$J$45-Konvergensi!$B$389;2);PANGKAT(Normalisasi!$K$45-Konvergensi!$C$389;2);PANGKAT(Normalisasi!$L$45-Konvergensi!$D$389;2);PANGKAT(Normalisasi!$M$45-Konvergensi!$E$389;2);PANGKAT(Normalisasi!$N$45-Konvergensi!$F$389;2);PANGKAT(Normalisasi!$O$45-Konvergensi!$G$389;2);PANGKAT(Normalisasi!$P$45-Konvergensi!$H$389;2)))</f>
        <v/>
      </c>
      <c r="D444">
        <f>AKAR(JUMLAH(PANGKAT(Normalisasi!$J$45-Konvergensi!$B$390;2);PANGKAT(Normalisasi!$K$45-Konvergensi!$C$390;2);PANGKAT(Normalisasi!$L$45-Konvergensi!$D$390;2);PANGKAT(Normalisasi!$M$45-Konvergensi!$E$390;2);PANGKAT(Normalisasi!$N$45-Konvergensi!$F$390;2);PANGKAT(Normalisasi!$O$45-Konvergensi!$G$390;2);PANGKAT(Normalisasi!$P$45-Konvergensi!$H$390;2)))</f>
        <v/>
      </c>
      <c r="E444">
        <f>AKAR(JUMLAH(PANGKAT(Normalisasi!$J$45-Konvergensi!$B$391;2);PANGKAT(Normalisasi!$K$45-Konvergensi!$C$391;2);PANGKAT(Normalisasi!$L$45-Konvergensi!$D$391;2);PANGKAT(Normalisasi!$M$45-Konvergensi!$E$391;2);PANGKAT(Normalisasi!$N$45-Konvergensi!$F$391;2);PANGKAT(Normalisasi!$O$45-Konvergensi!$G$391;2);PANGKAT(Normalisasi!$P$45-Konvergensi!$H$391;2)))</f>
        <v/>
      </c>
      <c r="F444">
        <f>JIKA(C444&lt;=D444;=JIKA(C444&lt;=E444;0;2);=JIKA(D444&lt;=E444;1;2))</f>
        <v/>
      </c>
      <c r="G444">
        <f>JUMLAH(JIKA(F444=0;JUMLAH(PANGKAT(Normalisasi!$J$45-Konvergensi!$B$454;2);PANGKAT(Normalisasi!$K$45-Konvergensi!$C$454;2);PANGKAT(Normalisasi!$L$45-Konvergensi!$D$454;2);PANGKAT(Normalisasi!$M$45-Konvergensi!$E$454;2);PANGKAT(Normalisasi!$N$45-Konvergensi!$F$454;2);PANGKAT(Normalisasi!$O$45-Konvergensi!$G$454;2);PANGKAT(Normalisasi!$P$45-Konvergensi!$H$454;2));0);JIKA(F444=1;JUMLAH(PANGKAT(Normalisasi!$J$45-Konvergensi!$B$455;2);PANGKAT(Normalisasi!$K$45-Konvergensi!$C$455;2);PANGKAT(Normalisasi!$L$45-Konvergensi!$D$455;2);PANGKAT(Normalisasi!$M$45-Konvergensi!$E$455;2);PANGKAT(Normalisasi!$N$45-Konvergensi!$F$455;2);PANGKAT(Normalisasi!$O$45-Konvergensi!$G$455;2);PANGKAT(Normalisasi!$P$45-Konvergensi!$H$455;2));0);JIKA(F444=2;JUMLAH(PANGKAT(Normalisasi!$J$45-Konvergensi!$B$456;2);PANGKAT(Normalisasi!$K$45-Konvergensi!$C$456;2);PANGKAT(Normalisasi!$L$45-Konvergensi!$D$456;2);PANGKAT(Normalisasi!$M$45-Konvergensi!$E$456;2);PANGKAT(Normalisasi!$N$45-Konvergensi!$F$456;2);PANGKAT(Normalisasi!$O$45-Konvergensi!$G$456;2);PANGKAT(Normalisasi!$P$45-Konvergensi!$H$456;2));0))</f>
        <v/>
      </c>
      <c r="H444" t="n">
        <v>2</v>
      </c>
      <c r="I444" t="n">
        <v>5.373582523070599</v>
      </c>
    </row>
    <row r="445">
      <c r="A445">
        <f>Data_Awal!A46</f>
        <v/>
      </c>
      <c r="B445">
        <f>Data_Awal!B46</f>
        <v/>
      </c>
      <c r="C445">
        <f>AKAR(JUMLAH(PANGKAT(Normalisasi!$J$46-Konvergensi!$B$389;2);PANGKAT(Normalisasi!$K$46-Konvergensi!$C$389;2);PANGKAT(Normalisasi!$L$46-Konvergensi!$D$389;2);PANGKAT(Normalisasi!$M$46-Konvergensi!$E$389;2);PANGKAT(Normalisasi!$N$46-Konvergensi!$F$389;2);PANGKAT(Normalisasi!$O$46-Konvergensi!$G$389;2);PANGKAT(Normalisasi!$P$46-Konvergensi!$H$389;2)))</f>
        <v/>
      </c>
      <c r="D445">
        <f>AKAR(JUMLAH(PANGKAT(Normalisasi!$J$46-Konvergensi!$B$390;2);PANGKAT(Normalisasi!$K$46-Konvergensi!$C$390;2);PANGKAT(Normalisasi!$L$46-Konvergensi!$D$390;2);PANGKAT(Normalisasi!$M$46-Konvergensi!$E$390;2);PANGKAT(Normalisasi!$N$46-Konvergensi!$F$390;2);PANGKAT(Normalisasi!$O$46-Konvergensi!$G$390;2);PANGKAT(Normalisasi!$P$46-Konvergensi!$H$390;2)))</f>
        <v/>
      </c>
      <c r="E445">
        <f>AKAR(JUMLAH(PANGKAT(Normalisasi!$J$46-Konvergensi!$B$391;2);PANGKAT(Normalisasi!$K$46-Konvergensi!$C$391;2);PANGKAT(Normalisasi!$L$46-Konvergensi!$D$391;2);PANGKAT(Normalisasi!$M$46-Konvergensi!$E$391;2);PANGKAT(Normalisasi!$N$46-Konvergensi!$F$391;2);PANGKAT(Normalisasi!$O$46-Konvergensi!$G$391;2);PANGKAT(Normalisasi!$P$46-Konvergensi!$H$391;2)))</f>
        <v/>
      </c>
      <c r="F445">
        <f>JIKA(C445&lt;=D445;=JIKA(C445&lt;=E445;0;2);=JIKA(D445&lt;=E445;1;2))</f>
        <v/>
      </c>
      <c r="G445">
        <f>JUMLAH(JIKA(F445=0;JUMLAH(PANGKAT(Normalisasi!$J$46-Konvergensi!$B$454;2);PANGKAT(Normalisasi!$K$46-Konvergensi!$C$454;2);PANGKAT(Normalisasi!$L$46-Konvergensi!$D$454;2);PANGKAT(Normalisasi!$M$46-Konvergensi!$E$454;2);PANGKAT(Normalisasi!$N$46-Konvergensi!$F$454;2);PANGKAT(Normalisasi!$O$46-Konvergensi!$G$454;2);PANGKAT(Normalisasi!$P$46-Konvergensi!$H$454;2));0);JIKA(F445=1;JUMLAH(PANGKAT(Normalisasi!$J$46-Konvergensi!$B$455;2);PANGKAT(Normalisasi!$K$46-Konvergensi!$C$455;2);PANGKAT(Normalisasi!$L$46-Konvergensi!$D$455;2);PANGKAT(Normalisasi!$M$46-Konvergensi!$E$455;2);PANGKAT(Normalisasi!$N$46-Konvergensi!$F$455;2);PANGKAT(Normalisasi!$O$46-Konvergensi!$G$455;2);PANGKAT(Normalisasi!$P$46-Konvergensi!$H$455;2));0);JIKA(F445=2;JUMLAH(PANGKAT(Normalisasi!$J$46-Konvergensi!$B$456;2);PANGKAT(Normalisasi!$K$46-Konvergensi!$C$456;2);PANGKAT(Normalisasi!$L$46-Konvergensi!$D$456;2);PANGKAT(Normalisasi!$M$46-Konvergensi!$E$456;2);PANGKAT(Normalisasi!$N$46-Konvergensi!$F$456;2);PANGKAT(Normalisasi!$O$46-Konvergensi!$G$456;2);PANGKAT(Normalisasi!$P$46-Konvergensi!$H$456;2));0))</f>
        <v/>
      </c>
      <c r="H445" t="n">
        <v>2</v>
      </c>
      <c r="I445" t="n">
        <v>5.786920408673021</v>
      </c>
    </row>
    <row r="446">
      <c r="A446">
        <f>Data_Awal!A47</f>
        <v/>
      </c>
      <c r="B446">
        <f>Data_Awal!B47</f>
        <v/>
      </c>
      <c r="C446">
        <f>AKAR(JUMLAH(PANGKAT(Normalisasi!$J$47-Konvergensi!$B$389;2);PANGKAT(Normalisasi!$K$47-Konvergensi!$C$389;2);PANGKAT(Normalisasi!$L$47-Konvergensi!$D$389;2);PANGKAT(Normalisasi!$M$47-Konvergensi!$E$389;2);PANGKAT(Normalisasi!$N$47-Konvergensi!$F$389;2);PANGKAT(Normalisasi!$O$47-Konvergensi!$G$389;2);PANGKAT(Normalisasi!$P$47-Konvergensi!$H$389;2)))</f>
        <v/>
      </c>
      <c r="D446">
        <f>AKAR(JUMLAH(PANGKAT(Normalisasi!$J$47-Konvergensi!$B$390;2);PANGKAT(Normalisasi!$K$47-Konvergensi!$C$390;2);PANGKAT(Normalisasi!$L$47-Konvergensi!$D$390;2);PANGKAT(Normalisasi!$M$47-Konvergensi!$E$390;2);PANGKAT(Normalisasi!$N$47-Konvergensi!$F$390;2);PANGKAT(Normalisasi!$O$47-Konvergensi!$G$390;2);PANGKAT(Normalisasi!$P$47-Konvergensi!$H$390;2)))</f>
        <v/>
      </c>
      <c r="E446">
        <f>AKAR(JUMLAH(PANGKAT(Normalisasi!$J$47-Konvergensi!$B$391;2);PANGKAT(Normalisasi!$K$47-Konvergensi!$C$391;2);PANGKAT(Normalisasi!$L$47-Konvergensi!$D$391;2);PANGKAT(Normalisasi!$M$47-Konvergensi!$E$391;2);PANGKAT(Normalisasi!$N$47-Konvergensi!$F$391;2);PANGKAT(Normalisasi!$O$47-Konvergensi!$G$391;2);PANGKAT(Normalisasi!$P$47-Konvergensi!$H$391;2)))</f>
        <v/>
      </c>
      <c r="F446">
        <f>JIKA(C446&lt;=D446;=JIKA(C446&lt;=E446;0;2);=JIKA(D446&lt;=E446;1;2))</f>
        <v/>
      </c>
      <c r="G446">
        <f>JUMLAH(JIKA(F446=0;JUMLAH(PANGKAT(Normalisasi!$J$47-Konvergensi!$B$454;2);PANGKAT(Normalisasi!$K$47-Konvergensi!$C$454;2);PANGKAT(Normalisasi!$L$47-Konvergensi!$D$454;2);PANGKAT(Normalisasi!$M$47-Konvergensi!$E$454;2);PANGKAT(Normalisasi!$N$47-Konvergensi!$F$454;2);PANGKAT(Normalisasi!$O$47-Konvergensi!$G$454;2);PANGKAT(Normalisasi!$P$47-Konvergensi!$H$454;2));0);JIKA(F446=1;JUMLAH(PANGKAT(Normalisasi!$J$47-Konvergensi!$B$455;2);PANGKAT(Normalisasi!$K$47-Konvergensi!$C$455;2);PANGKAT(Normalisasi!$L$47-Konvergensi!$D$455;2);PANGKAT(Normalisasi!$M$47-Konvergensi!$E$455;2);PANGKAT(Normalisasi!$N$47-Konvergensi!$F$455;2);PANGKAT(Normalisasi!$O$47-Konvergensi!$G$455;2);PANGKAT(Normalisasi!$P$47-Konvergensi!$H$455;2));0);JIKA(F446=2;JUMLAH(PANGKAT(Normalisasi!$J$47-Konvergensi!$B$456;2);PANGKAT(Normalisasi!$K$47-Konvergensi!$C$456;2);PANGKAT(Normalisasi!$L$47-Konvergensi!$D$456;2);PANGKAT(Normalisasi!$M$47-Konvergensi!$E$456;2);PANGKAT(Normalisasi!$N$47-Konvergensi!$F$456;2);PANGKAT(Normalisasi!$O$47-Konvergensi!$G$456;2);PANGKAT(Normalisasi!$P$47-Konvergensi!$H$456;2));0))</f>
        <v/>
      </c>
      <c r="H446" t="n">
        <v>2</v>
      </c>
      <c r="I446" t="n">
        <v>2.283868641488804</v>
      </c>
    </row>
    <row r="447">
      <c r="A447">
        <f>Data_Awal!A48</f>
        <v/>
      </c>
      <c r="B447">
        <f>Data_Awal!B48</f>
        <v/>
      </c>
      <c r="C447">
        <f>AKAR(JUMLAH(PANGKAT(Normalisasi!$J$48-Konvergensi!$B$389;2);PANGKAT(Normalisasi!$K$48-Konvergensi!$C$389;2);PANGKAT(Normalisasi!$L$48-Konvergensi!$D$389;2);PANGKAT(Normalisasi!$M$48-Konvergensi!$E$389;2);PANGKAT(Normalisasi!$N$48-Konvergensi!$F$389;2);PANGKAT(Normalisasi!$O$48-Konvergensi!$G$389;2);PANGKAT(Normalisasi!$P$48-Konvergensi!$H$389;2)))</f>
        <v/>
      </c>
      <c r="D447">
        <f>AKAR(JUMLAH(PANGKAT(Normalisasi!$J$48-Konvergensi!$B$390;2);PANGKAT(Normalisasi!$K$48-Konvergensi!$C$390;2);PANGKAT(Normalisasi!$L$48-Konvergensi!$D$390;2);PANGKAT(Normalisasi!$M$48-Konvergensi!$E$390;2);PANGKAT(Normalisasi!$N$48-Konvergensi!$F$390;2);PANGKAT(Normalisasi!$O$48-Konvergensi!$G$390;2);PANGKAT(Normalisasi!$P$48-Konvergensi!$H$390;2)))</f>
        <v/>
      </c>
      <c r="E447">
        <f>AKAR(JUMLAH(PANGKAT(Normalisasi!$J$48-Konvergensi!$B$391;2);PANGKAT(Normalisasi!$K$48-Konvergensi!$C$391;2);PANGKAT(Normalisasi!$L$48-Konvergensi!$D$391;2);PANGKAT(Normalisasi!$M$48-Konvergensi!$E$391;2);PANGKAT(Normalisasi!$N$48-Konvergensi!$F$391;2);PANGKAT(Normalisasi!$O$48-Konvergensi!$G$391;2);PANGKAT(Normalisasi!$P$48-Konvergensi!$H$391;2)))</f>
        <v/>
      </c>
      <c r="F447">
        <f>JIKA(C447&lt;=D447;=JIKA(C447&lt;=E447;0;2);=JIKA(D447&lt;=E447;1;2))</f>
        <v/>
      </c>
      <c r="G447">
        <f>JUMLAH(JIKA(F447=0;JUMLAH(PANGKAT(Normalisasi!$J$48-Konvergensi!$B$454;2);PANGKAT(Normalisasi!$K$48-Konvergensi!$C$454;2);PANGKAT(Normalisasi!$L$48-Konvergensi!$D$454;2);PANGKAT(Normalisasi!$M$48-Konvergensi!$E$454;2);PANGKAT(Normalisasi!$N$48-Konvergensi!$F$454;2);PANGKAT(Normalisasi!$O$48-Konvergensi!$G$454;2);PANGKAT(Normalisasi!$P$48-Konvergensi!$H$454;2));0);JIKA(F447=1;JUMLAH(PANGKAT(Normalisasi!$J$48-Konvergensi!$B$455;2);PANGKAT(Normalisasi!$K$48-Konvergensi!$C$455;2);PANGKAT(Normalisasi!$L$48-Konvergensi!$D$455;2);PANGKAT(Normalisasi!$M$48-Konvergensi!$E$455;2);PANGKAT(Normalisasi!$N$48-Konvergensi!$F$455;2);PANGKAT(Normalisasi!$O$48-Konvergensi!$G$455;2);PANGKAT(Normalisasi!$P$48-Konvergensi!$H$455;2));0);JIKA(F447=2;JUMLAH(PANGKAT(Normalisasi!$J$48-Konvergensi!$B$456;2);PANGKAT(Normalisasi!$K$48-Konvergensi!$C$456;2);PANGKAT(Normalisasi!$L$48-Konvergensi!$D$456;2);PANGKAT(Normalisasi!$M$48-Konvergensi!$E$456;2);PANGKAT(Normalisasi!$N$48-Konvergensi!$F$456;2);PANGKAT(Normalisasi!$O$48-Konvergensi!$G$456;2);PANGKAT(Normalisasi!$P$48-Konvergensi!$H$456;2));0))</f>
        <v/>
      </c>
      <c r="H447" t="n">
        <v>1</v>
      </c>
      <c r="I447" t="n">
        <v>2.481879974083219</v>
      </c>
    </row>
    <row r="448">
      <c r="A448">
        <f>Data_Awal!A49</f>
        <v/>
      </c>
      <c r="B448">
        <f>Data_Awal!B49</f>
        <v/>
      </c>
      <c r="C448">
        <f>AKAR(JUMLAH(PANGKAT(Normalisasi!$J$49-Konvergensi!$B$389;2);PANGKAT(Normalisasi!$K$49-Konvergensi!$C$389;2);PANGKAT(Normalisasi!$L$49-Konvergensi!$D$389;2);PANGKAT(Normalisasi!$M$49-Konvergensi!$E$389;2);PANGKAT(Normalisasi!$N$49-Konvergensi!$F$389;2);PANGKAT(Normalisasi!$O$49-Konvergensi!$G$389;2);PANGKAT(Normalisasi!$P$49-Konvergensi!$H$389;2)))</f>
        <v/>
      </c>
      <c r="D448">
        <f>AKAR(JUMLAH(PANGKAT(Normalisasi!$J$49-Konvergensi!$B$390;2);PANGKAT(Normalisasi!$K$49-Konvergensi!$C$390;2);PANGKAT(Normalisasi!$L$49-Konvergensi!$D$390;2);PANGKAT(Normalisasi!$M$49-Konvergensi!$E$390;2);PANGKAT(Normalisasi!$N$49-Konvergensi!$F$390;2);PANGKAT(Normalisasi!$O$49-Konvergensi!$G$390;2);PANGKAT(Normalisasi!$P$49-Konvergensi!$H$390;2)))</f>
        <v/>
      </c>
      <c r="E448">
        <f>AKAR(JUMLAH(PANGKAT(Normalisasi!$J$49-Konvergensi!$B$391;2);PANGKAT(Normalisasi!$K$49-Konvergensi!$C$391;2);PANGKAT(Normalisasi!$L$49-Konvergensi!$D$391;2);PANGKAT(Normalisasi!$M$49-Konvergensi!$E$391;2);PANGKAT(Normalisasi!$N$49-Konvergensi!$F$391;2);PANGKAT(Normalisasi!$O$49-Konvergensi!$G$391;2);PANGKAT(Normalisasi!$P$49-Konvergensi!$H$391;2)))</f>
        <v/>
      </c>
      <c r="F448">
        <f>JIKA(C448&lt;=D448;=JIKA(C448&lt;=E448;0;2);=JIKA(D448&lt;=E448;1;2))</f>
        <v/>
      </c>
      <c r="G448">
        <f>JUMLAH(JIKA(F448=0;JUMLAH(PANGKAT(Normalisasi!$J$49-Konvergensi!$B$454;2);PANGKAT(Normalisasi!$K$49-Konvergensi!$C$454;2);PANGKAT(Normalisasi!$L$49-Konvergensi!$D$454;2);PANGKAT(Normalisasi!$M$49-Konvergensi!$E$454;2);PANGKAT(Normalisasi!$N$49-Konvergensi!$F$454;2);PANGKAT(Normalisasi!$O$49-Konvergensi!$G$454;2);PANGKAT(Normalisasi!$P$49-Konvergensi!$H$454;2));0);JIKA(F448=1;JUMLAH(PANGKAT(Normalisasi!$J$49-Konvergensi!$B$455;2);PANGKAT(Normalisasi!$K$49-Konvergensi!$C$455;2);PANGKAT(Normalisasi!$L$49-Konvergensi!$D$455;2);PANGKAT(Normalisasi!$M$49-Konvergensi!$E$455;2);PANGKAT(Normalisasi!$N$49-Konvergensi!$F$455;2);PANGKAT(Normalisasi!$O$49-Konvergensi!$G$455;2);PANGKAT(Normalisasi!$P$49-Konvergensi!$H$455;2));0);JIKA(F448=2;JUMLAH(PANGKAT(Normalisasi!$J$49-Konvergensi!$B$456;2);PANGKAT(Normalisasi!$K$49-Konvergensi!$C$456;2);PANGKAT(Normalisasi!$L$49-Konvergensi!$D$456;2);PANGKAT(Normalisasi!$M$49-Konvergensi!$E$456;2);PANGKAT(Normalisasi!$N$49-Konvergensi!$F$456;2);PANGKAT(Normalisasi!$O$49-Konvergensi!$G$456;2);PANGKAT(Normalisasi!$P$49-Konvergensi!$H$456;2));0))</f>
        <v/>
      </c>
      <c r="H448" t="n">
        <v>0</v>
      </c>
      <c r="I448" t="n">
        <v>2.412928616701172</v>
      </c>
    </row>
    <row r="449">
      <c r="A449">
        <f>Data_Awal!A50</f>
        <v/>
      </c>
      <c r="B449">
        <f>Data_Awal!B50</f>
        <v/>
      </c>
      <c r="C449">
        <f>AKAR(JUMLAH(PANGKAT(Normalisasi!$J$50-Konvergensi!$B$389;2);PANGKAT(Normalisasi!$K$50-Konvergensi!$C$389;2);PANGKAT(Normalisasi!$L$50-Konvergensi!$D$389;2);PANGKAT(Normalisasi!$M$50-Konvergensi!$E$389;2);PANGKAT(Normalisasi!$N$50-Konvergensi!$F$389;2);PANGKAT(Normalisasi!$O$50-Konvergensi!$G$389;2);PANGKAT(Normalisasi!$P$50-Konvergensi!$H$389;2)))</f>
        <v/>
      </c>
      <c r="D449">
        <f>AKAR(JUMLAH(PANGKAT(Normalisasi!$J$50-Konvergensi!$B$390;2);PANGKAT(Normalisasi!$K$50-Konvergensi!$C$390;2);PANGKAT(Normalisasi!$L$50-Konvergensi!$D$390;2);PANGKAT(Normalisasi!$M$50-Konvergensi!$E$390;2);PANGKAT(Normalisasi!$N$50-Konvergensi!$F$390;2);PANGKAT(Normalisasi!$O$50-Konvergensi!$G$390;2);PANGKAT(Normalisasi!$P$50-Konvergensi!$H$390;2)))</f>
        <v/>
      </c>
      <c r="E449">
        <f>AKAR(JUMLAH(PANGKAT(Normalisasi!$J$50-Konvergensi!$B$391;2);PANGKAT(Normalisasi!$K$50-Konvergensi!$C$391;2);PANGKAT(Normalisasi!$L$50-Konvergensi!$D$391;2);PANGKAT(Normalisasi!$M$50-Konvergensi!$E$391;2);PANGKAT(Normalisasi!$N$50-Konvergensi!$F$391;2);PANGKAT(Normalisasi!$O$50-Konvergensi!$G$391;2);PANGKAT(Normalisasi!$P$50-Konvergensi!$H$391;2)))</f>
        <v/>
      </c>
      <c r="F449">
        <f>JIKA(C449&lt;=D449;=JIKA(C449&lt;=E449;0;2);=JIKA(D449&lt;=E449;1;2))</f>
        <v/>
      </c>
      <c r="G449">
        <f>JUMLAH(JIKA(F449=0;JUMLAH(PANGKAT(Normalisasi!$J$50-Konvergensi!$B$454;2);PANGKAT(Normalisasi!$K$50-Konvergensi!$C$454;2);PANGKAT(Normalisasi!$L$50-Konvergensi!$D$454;2);PANGKAT(Normalisasi!$M$50-Konvergensi!$E$454;2);PANGKAT(Normalisasi!$N$50-Konvergensi!$F$454;2);PANGKAT(Normalisasi!$O$50-Konvergensi!$G$454;2);PANGKAT(Normalisasi!$P$50-Konvergensi!$H$454;2));0);JIKA(F449=1;JUMLAH(PANGKAT(Normalisasi!$J$50-Konvergensi!$B$455;2);PANGKAT(Normalisasi!$K$50-Konvergensi!$C$455;2);PANGKAT(Normalisasi!$L$50-Konvergensi!$D$455;2);PANGKAT(Normalisasi!$M$50-Konvergensi!$E$455;2);PANGKAT(Normalisasi!$N$50-Konvergensi!$F$455;2);PANGKAT(Normalisasi!$O$50-Konvergensi!$G$455;2);PANGKAT(Normalisasi!$P$50-Konvergensi!$H$455;2));0);JIKA(F449=2;JUMLAH(PANGKAT(Normalisasi!$J$50-Konvergensi!$B$456;2);PANGKAT(Normalisasi!$K$50-Konvergensi!$C$456;2);PANGKAT(Normalisasi!$L$50-Konvergensi!$D$456;2);PANGKAT(Normalisasi!$M$50-Konvergensi!$E$456;2);PANGKAT(Normalisasi!$N$50-Konvergensi!$F$456;2);PANGKAT(Normalisasi!$O$50-Konvergensi!$G$456;2);PANGKAT(Normalisasi!$P$50-Konvergensi!$H$456;2));0))</f>
        <v/>
      </c>
      <c r="H449" t="n">
        <v>0</v>
      </c>
      <c r="I449" t="n">
        <v>3.877429432137055</v>
      </c>
    </row>
    <row r="450">
      <c r="A450">
        <f>Data_Awal!A51</f>
        <v/>
      </c>
      <c r="B450">
        <f>Data_Awal!B51</f>
        <v/>
      </c>
      <c r="C450">
        <f>AKAR(JUMLAH(PANGKAT(Normalisasi!$J$51-Konvergensi!$B$389;2);PANGKAT(Normalisasi!$K$51-Konvergensi!$C$389;2);PANGKAT(Normalisasi!$L$51-Konvergensi!$D$389;2);PANGKAT(Normalisasi!$M$51-Konvergensi!$E$389;2);PANGKAT(Normalisasi!$N$51-Konvergensi!$F$389;2);PANGKAT(Normalisasi!$O$51-Konvergensi!$G$389;2);PANGKAT(Normalisasi!$P$51-Konvergensi!$H$389;2)))</f>
        <v/>
      </c>
      <c r="D450">
        <f>AKAR(JUMLAH(PANGKAT(Normalisasi!$J$51-Konvergensi!$B$390;2);PANGKAT(Normalisasi!$K$51-Konvergensi!$C$390;2);PANGKAT(Normalisasi!$L$51-Konvergensi!$D$390;2);PANGKAT(Normalisasi!$M$51-Konvergensi!$E$390;2);PANGKAT(Normalisasi!$N$51-Konvergensi!$F$390;2);PANGKAT(Normalisasi!$O$51-Konvergensi!$G$390;2);PANGKAT(Normalisasi!$P$51-Konvergensi!$H$390;2)))</f>
        <v/>
      </c>
      <c r="E450">
        <f>AKAR(JUMLAH(PANGKAT(Normalisasi!$J$51-Konvergensi!$B$391;2);PANGKAT(Normalisasi!$K$51-Konvergensi!$C$391;2);PANGKAT(Normalisasi!$L$51-Konvergensi!$D$391;2);PANGKAT(Normalisasi!$M$51-Konvergensi!$E$391;2);PANGKAT(Normalisasi!$N$51-Konvergensi!$F$391;2);PANGKAT(Normalisasi!$O$51-Konvergensi!$G$391;2);PANGKAT(Normalisasi!$P$51-Konvergensi!$H$391;2)))</f>
        <v/>
      </c>
      <c r="F450">
        <f>JIKA(C450&lt;=D450;=JIKA(C450&lt;=E450;0;2);=JIKA(D450&lt;=E450;1;2))</f>
        <v/>
      </c>
      <c r="G450">
        <f>JUMLAH(JIKA(F450=0;JUMLAH(PANGKAT(Normalisasi!$J$51-Konvergensi!$B$454;2);PANGKAT(Normalisasi!$K$51-Konvergensi!$C$454;2);PANGKAT(Normalisasi!$L$51-Konvergensi!$D$454;2);PANGKAT(Normalisasi!$M$51-Konvergensi!$E$454;2);PANGKAT(Normalisasi!$N$51-Konvergensi!$F$454;2);PANGKAT(Normalisasi!$O$51-Konvergensi!$G$454;2);PANGKAT(Normalisasi!$P$51-Konvergensi!$H$454;2));0);JIKA(F450=1;JUMLAH(PANGKAT(Normalisasi!$J$51-Konvergensi!$B$455;2);PANGKAT(Normalisasi!$K$51-Konvergensi!$C$455;2);PANGKAT(Normalisasi!$L$51-Konvergensi!$D$455;2);PANGKAT(Normalisasi!$M$51-Konvergensi!$E$455;2);PANGKAT(Normalisasi!$N$51-Konvergensi!$F$455;2);PANGKAT(Normalisasi!$O$51-Konvergensi!$G$455;2);PANGKAT(Normalisasi!$P$51-Konvergensi!$H$455;2));0);JIKA(F450=2;JUMLAH(PANGKAT(Normalisasi!$J$51-Konvergensi!$B$456;2);PANGKAT(Normalisasi!$K$51-Konvergensi!$C$456;2);PANGKAT(Normalisasi!$L$51-Konvergensi!$D$456;2);PANGKAT(Normalisasi!$M$51-Konvergensi!$E$456;2);PANGKAT(Normalisasi!$N$51-Konvergensi!$F$456;2);PANGKAT(Normalisasi!$O$51-Konvergensi!$G$456;2);PANGKAT(Normalisasi!$P$51-Konvergensi!$H$456;2));0))</f>
        <v/>
      </c>
      <c r="H450" t="n">
        <v>2</v>
      </c>
      <c r="I450" t="n">
        <v>2.540252740827789</v>
      </c>
    </row>
    <row r="452">
      <c r="A452" s="4" t="inlineStr">
        <is>
          <t>Centroid baru setelah iter 7</t>
        </is>
      </c>
    </row>
    <row r="453">
      <c r="A453" t="inlineStr">
        <is>
          <t>Cluster</t>
        </is>
      </c>
      <c r="B453" s="1" t="inlineStr">
        <is>
          <t>Z Latitude</t>
        </is>
      </c>
      <c r="C453" s="1" t="inlineStr">
        <is>
          <t>Z Longitude</t>
        </is>
      </c>
      <c r="D453" s="1" t="inlineStr">
        <is>
          <t>Z Semantic Score</t>
        </is>
      </c>
      <c r="E453" s="1" t="inlineStr">
        <is>
          <t>Z Jarak Hotel (m)</t>
        </is>
      </c>
      <c r="F453" s="1" t="inlineStr">
        <is>
          <t>Z Jarak Halte (m)</t>
        </is>
      </c>
      <c r="G453" s="1" t="inlineStr">
        <is>
          <t>Z Restoran 500m</t>
        </is>
      </c>
      <c r="H453" s="1" t="inlineStr">
        <is>
          <t>Z Minimarket 500m</t>
        </is>
      </c>
    </row>
    <row r="454">
      <c r="A454" t="inlineStr">
        <is>
          <t>C0</t>
        </is>
      </c>
      <c r="B454">
        <f>RATA.RATA.JIKA($F$401:$F$450;0;Normalisasi!$J$2:$J$51)</f>
        <v/>
      </c>
      <c r="C454">
        <f>RATA.RATA.JIKA($F$401:$F$450;0;Normalisasi!$K$2:$K$51)</f>
        <v/>
      </c>
      <c r="D454">
        <f>RATA.RATA.JIKA($F$401:$F$450;0;Normalisasi!$L$2:$L$51)</f>
        <v/>
      </c>
      <c r="E454">
        <f>RATA.RATA.JIKA($F$401:$F$450;0;Normalisasi!$M$2:$M$51)</f>
        <v/>
      </c>
      <c r="F454">
        <f>RATA.RATA.JIKA($F$401:$F$450;0;Normalisasi!$N$2:$N$51)</f>
        <v/>
      </c>
      <c r="G454">
        <f>RATA.RATA.JIKA($F$401:$F$450;0;Normalisasi!$O$2:$O$51)</f>
        <v/>
      </c>
      <c r="H454">
        <f>RATA.RATA.JIKA($F$401:$F$450;0;Normalisasi!$P$2:$P$51)</f>
        <v/>
      </c>
      <c r="J454" t="n">
        <v>-0.3428434871843923</v>
      </c>
      <c r="K454" t="n">
        <v>-0.03913789584363216</v>
      </c>
      <c r="L454" t="n">
        <v>-0.3237274457652508</v>
      </c>
      <c r="M454" t="n">
        <v>-0.4484616597828808</v>
      </c>
      <c r="N454" t="n">
        <v>-0.5455781069378605</v>
      </c>
      <c r="O454" t="n">
        <v>-0.6484479907797761</v>
      </c>
      <c r="P454" t="n">
        <v>0.1720282776540647</v>
      </c>
    </row>
    <row r="455">
      <c r="A455" t="inlineStr">
        <is>
          <t>C1</t>
        </is>
      </c>
      <c r="B455">
        <f>RATA.RATA.JIKA($F$401:$F$450;1;Normalisasi!$J$2:$J$51)</f>
        <v/>
      </c>
      <c r="C455">
        <f>RATA.RATA.JIKA($F$401:$F$450;1;Normalisasi!$K$2:$K$51)</f>
        <v/>
      </c>
      <c r="D455">
        <f>RATA.RATA.JIKA($F$401:$F$450;1;Normalisasi!$L$2:$L$51)</f>
        <v/>
      </c>
      <c r="E455">
        <f>RATA.RATA.JIKA($F$401:$F$450;1;Normalisasi!$M$2:$M$51)</f>
        <v/>
      </c>
      <c r="F455">
        <f>RATA.RATA.JIKA($F$401:$F$450;1;Normalisasi!$N$2:$N$51)</f>
        <v/>
      </c>
      <c r="G455">
        <f>RATA.RATA.JIKA($F$401:$F$450;1;Normalisasi!$O$2:$O$51)</f>
        <v/>
      </c>
      <c r="H455">
        <f>RATA.RATA.JIKA($F$401:$F$450;1;Normalisasi!$P$2:$P$51)</f>
        <v/>
      </c>
      <c r="J455" t="n">
        <v>-0.2130554528799716</v>
      </c>
      <c r="K455" t="n">
        <v>0.1131244561175998</v>
      </c>
      <c r="L455" t="n">
        <v>0.3407250115346307</v>
      </c>
      <c r="M455" t="n">
        <v>0.4655491846085689</v>
      </c>
      <c r="N455" t="n">
        <v>1.070404003170514</v>
      </c>
      <c r="O455" t="n">
        <v>0.3409213405072328</v>
      </c>
      <c r="P455" t="n">
        <v>-0.7153653834791738</v>
      </c>
    </row>
    <row r="456">
      <c r="A456" t="inlineStr">
        <is>
          <t>C2</t>
        </is>
      </c>
      <c r="B456">
        <f>RATA.RATA.JIKA($F$401:$F$450;2;Normalisasi!$J$2:$J$51)</f>
        <v/>
      </c>
      <c r="C456">
        <f>RATA.RATA.JIKA($F$401:$F$450;2;Normalisasi!$K$2:$K$51)</f>
        <v/>
      </c>
      <c r="D456">
        <f>RATA.RATA.JIKA($F$401:$F$450;2;Normalisasi!$L$2:$L$51)</f>
        <v/>
      </c>
      <c r="E456">
        <f>RATA.RATA.JIKA($F$401:$F$450;2;Normalisasi!$M$2:$M$51)</f>
        <v/>
      </c>
      <c r="F456">
        <f>RATA.RATA.JIKA($F$401:$F$450;2;Normalisasi!$N$2:$N$51)</f>
        <v/>
      </c>
      <c r="G456">
        <f>RATA.RATA.JIKA($F$401:$F$450;2;Normalisasi!$O$2:$O$51)</f>
        <v/>
      </c>
      <c r="H456">
        <f>RATA.RATA.JIKA($F$401:$F$450;2;Normalisasi!$P$2:$P$51)</f>
        <v/>
      </c>
      <c r="J456" t="n">
        <v>1.026753404665551</v>
      </c>
      <c r="K456" t="n">
        <v>-0.08271088122480022</v>
      </c>
      <c r="L456" t="n">
        <v>0.1812846425496949</v>
      </c>
      <c r="M456" t="n">
        <v>0.2605301110244686</v>
      </c>
      <c r="N456" t="n">
        <v>-0.4161970537415868</v>
      </c>
      <c r="O456" t="n">
        <v>0.8599602127108293</v>
      </c>
      <c r="P456" t="n">
        <v>0.6808359772384814</v>
      </c>
    </row>
    <row r="458">
      <c r="A458" t="inlineStr">
        <is>
          <t>Total WCSS (Excel)</t>
        </is>
      </c>
      <c r="B458">
        <f>JUMLAH($G$401:$G$450)</f>
        <v/>
      </c>
    </row>
    <row r="459">
      <c r="A459" t="inlineStr">
        <is>
          <t>Total WCSS (Python)</t>
        </is>
      </c>
      <c r="B459" t="n">
        <v>260.4721639814079</v>
      </c>
    </row>
    <row r="460">
      <c r="A460" t="inlineStr">
        <is>
          <t>Selisih WCSS</t>
        </is>
      </c>
      <c r="B460">
        <f>ABS(B458-B459)</f>
        <v/>
      </c>
    </row>
    <row r="461">
      <c r="A461" t="inlineStr">
        <is>
          <t>Label berubah?</t>
        </is>
      </c>
      <c r="B461">
        <f>JIKA(JUMLAH(JIKA($F$401:$F$450&lt;&gt;$F$401:$F$450;1;0))=0;"Tidak";"Ya")</f>
        <v/>
      </c>
    </row>
    <row r="462">
      <c r="A462" t="inlineStr">
        <is>
          <t>Max shift centroid</t>
        </is>
      </c>
      <c r="B462" t="n">
        <v>0.1387516871356385</v>
      </c>
    </row>
    <row r="464">
      <c r="A464" s="4" t="inlineStr">
        <is>
          <t>ITER 8 — Assignment &amp; Centroid Baru</t>
        </is>
      </c>
    </row>
    <row r="465">
      <c r="A465" s="1" t="inlineStr">
        <is>
          <t>POI ID</t>
        </is>
      </c>
      <c r="B465" s="1" t="inlineStr">
        <is>
          <t>Nama</t>
        </is>
      </c>
      <c r="C465" s="1" t="inlineStr">
        <is>
          <t>d(C0)</t>
        </is>
      </c>
      <c r="D465" s="1" t="inlineStr">
        <is>
          <t>d(C1)</t>
        </is>
      </c>
      <c r="E465" s="1" t="inlineStr">
        <is>
          <t>d(C2)</t>
        </is>
      </c>
      <c r="F465" s="1" t="inlineStr">
        <is>
          <t>Cluster</t>
        </is>
      </c>
      <c r="G465" s="1" t="inlineStr">
        <is>
          <t>WCSS POI</t>
        </is>
      </c>
      <c r="H465" s="1" t="inlineStr">
        <is>
          <t>Py Cluster</t>
        </is>
      </c>
      <c r="I465" s="1" t="inlineStr">
        <is>
          <t>Py WCSS</t>
        </is>
      </c>
    </row>
    <row r="466">
      <c r="A466">
        <f>Data_Awal!A2</f>
        <v/>
      </c>
      <c r="B466">
        <f>Data_Awal!B2</f>
        <v/>
      </c>
      <c r="C466">
        <f>AKAR(JUMLAH(PANGKAT(Normalisasi!$J$2-Konvergensi!$B$454;2);PANGKAT(Normalisasi!$K$2-Konvergensi!$C$454;2);PANGKAT(Normalisasi!$L$2-Konvergensi!$D$454;2);PANGKAT(Normalisasi!$M$2-Konvergensi!$E$454;2);PANGKAT(Normalisasi!$N$2-Konvergensi!$F$454;2);PANGKAT(Normalisasi!$O$2-Konvergensi!$G$454;2);PANGKAT(Normalisasi!$P$2-Konvergensi!$H$454;2)))</f>
        <v/>
      </c>
      <c r="D466">
        <f>AKAR(JUMLAH(PANGKAT(Normalisasi!$J$2-Konvergensi!$B$455;2);PANGKAT(Normalisasi!$K$2-Konvergensi!$C$455;2);PANGKAT(Normalisasi!$L$2-Konvergensi!$D$455;2);PANGKAT(Normalisasi!$M$2-Konvergensi!$E$455;2);PANGKAT(Normalisasi!$N$2-Konvergensi!$F$455;2);PANGKAT(Normalisasi!$O$2-Konvergensi!$G$455;2);PANGKAT(Normalisasi!$P$2-Konvergensi!$H$455;2)))</f>
        <v/>
      </c>
      <c r="E466">
        <f>AKAR(JUMLAH(PANGKAT(Normalisasi!$J$2-Konvergensi!$B$456;2);PANGKAT(Normalisasi!$K$2-Konvergensi!$C$456;2);PANGKAT(Normalisasi!$L$2-Konvergensi!$D$456;2);PANGKAT(Normalisasi!$M$2-Konvergensi!$E$456;2);PANGKAT(Normalisasi!$N$2-Konvergensi!$F$456;2);PANGKAT(Normalisasi!$O$2-Konvergensi!$G$456;2);PANGKAT(Normalisasi!$P$2-Konvergensi!$H$456;2)))</f>
        <v/>
      </c>
      <c r="F466">
        <f>JIKA(C466&lt;=D466;=JIKA(C466&lt;=E466;0;2);=JIKA(D466&lt;=E466;1;2))</f>
        <v/>
      </c>
      <c r="G466">
        <f>JUMLAH(JIKA(F466=0;JUMLAH(PANGKAT(Normalisasi!$J$2-Konvergensi!$B$519;2);PANGKAT(Normalisasi!$K$2-Konvergensi!$C$519;2);PANGKAT(Normalisasi!$L$2-Konvergensi!$D$519;2);PANGKAT(Normalisasi!$M$2-Konvergensi!$E$519;2);PANGKAT(Normalisasi!$N$2-Konvergensi!$F$519;2);PANGKAT(Normalisasi!$O$2-Konvergensi!$G$519;2);PANGKAT(Normalisasi!$P$2-Konvergensi!$H$519;2));0);JIKA(F466=1;JUMLAH(PANGKAT(Normalisasi!$J$2-Konvergensi!$B$520;2);PANGKAT(Normalisasi!$K$2-Konvergensi!$C$520;2);PANGKAT(Normalisasi!$L$2-Konvergensi!$D$520;2);PANGKAT(Normalisasi!$M$2-Konvergensi!$E$520;2);PANGKAT(Normalisasi!$N$2-Konvergensi!$F$520;2);PANGKAT(Normalisasi!$O$2-Konvergensi!$G$520;2);PANGKAT(Normalisasi!$P$2-Konvergensi!$H$520;2));0);JIKA(F466=2;JUMLAH(PANGKAT(Normalisasi!$J$2-Konvergensi!$B$521;2);PANGKAT(Normalisasi!$K$2-Konvergensi!$C$521;2);PANGKAT(Normalisasi!$L$2-Konvergensi!$D$521;2);PANGKAT(Normalisasi!$M$2-Konvergensi!$E$521;2);PANGKAT(Normalisasi!$N$2-Konvergensi!$F$521;2);PANGKAT(Normalisasi!$O$2-Konvergensi!$G$521;2);PANGKAT(Normalisasi!$P$2-Konvergensi!$H$521;2));0))</f>
        <v/>
      </c>
      <c r="H466" t="n">
        <v>2</v>
      </c>
      <c r="I466" t="n">
        <v>6.709312008115993</v>
      </c>
    </row>
    <row r="467">
      <c r="A467">
        <f>Data_Awal!A3</f>
        <v/>
      </c>
      <c r="B467">
        <f>Data_Awal!B3</f>
        <v/>
      </c>
      <c r="C467">
        <f>AKAR(JUMLAH(PANGKAT(Normalisasi!$J$3-Konvergensi!$B$454;2);PANGKAT(Normalisasi!$K$3-Konvergensi!$C$454;2);PANGKAT(Normalisasi!$L$3-Konvergensi!$D$454;2);PANGKAT(Normalisasi!$M$3-Konvergensi!$E$454;2);PANGKAT(Normalisasi!$N$3-Konvergensi!$F$454;2);PANGKAT(Normalisasi!$O$3-Konvergensi!$G$454;2);PANGKAT(Normalisasi!$P$3-Konvergensi!$H$454;2)))</f>
        <v/>
      </c>
      <c r="D467">
        <f>AKAR(JUMLAH(PANGKAT(Normalisasi!$J$3-Konvergensi!$B$455;2);PANGKAT(Normalisasi!$K$3-Konvergensi!$C$455;2);PANGKAT(Normalisasi!$L$3-Konvergensi!$D$455;2);PANGKAT(Normalisasi!$M$3-Konvergensi!$E$455;2);PANGKAT(Normalisasi!$N$3-Konvergensi!$F$455;2);PANGKAT(Normalisasi!$O$3-Konvergensi!$G$455;2);PANGKAT(Normalisasi!$P$3-Konvergensi!$H$455;2)))</f>
        <v/>
      </c>
      <c r="E467">
        <f>AKAR(JUMLAH(PANGKAT(Normalisasi!$J$3-Konvergensi!$B$456;2);PANGKAT(Normalisasi!$K$3-Konvergensi!$C$456;2);PANGKAT(Normalisasi!$L$3-Konvergensi!$D$456;2);PANGKAT(Normalisasi!$M$3-Konvergensi!$E$456;2);PANGKAT(Normalisasi!$N$3-Konvergensi!$F$456;2);PANGKAT(Normalisasi!$O$3-Konvergensi!$G$456;2);PANGKAT(Normalisasi!$P$3-Konvergensi!$H$456;2)))</f>
        <v/>
      </c>
      <c r="F467">
        <f>JIKA(C467&lt;=D467;=JIKA(C467&lt;=E467;0;2);=JIKA(D467&lt;=E467;1;2))</f>
        <v/>
      </c>
      <c r="G467">
        <f>JUMLAH(JIKA(F467=0;JUMLAH(PANGKAT(Normalisasi!$J$3-Konvergensi!$B$519;2);PANGKAT(Normalisasi!$K$3-Konvergensi!$C$519;2);PANGKAT(Normalisasi!$L$3-Konvergensi!$D$519;2);PANGKAT(Normalisasi!$M$3-Konvergensi!$E$519;2);PANGKAT(Normalisasi!$N$3-Konvergensi!$F$519;2);PANGKAT(Normalisasi!$O$3-Konvergensi!$G$519;2);PANGKAT(Normalisasi!$P$3-Konvergensi!$H$519;2));0);JIKA(F467=1;JUMLAH(PANGKAT(Normalisasi!$J$3-Konvergensi!$B$520;2);PANGKAT(Normalisasi!$K$3-Konvergensi!$C$520;2);PANGKAT(Normalisasi!$L$3-Konvergensi!$D$520;2);PANGKAT(Normalisasi!$M$3-Konvergensi!$E$520;2);PANGKAT(Normalisasi!$N$3-Konvergensi!$F$520;2);PANGKAT(Normalisasi!$O$3-Konvergensi!$G$520;2);PANGKAT(Normalisasi!$P$3-Konvergensi!$H$520;2));0);JIKA(F467=2;JUMLAH(PANGKAT(Normalisasi!$J$3-Konvergensi!$B$521;2);PANGKAT(Normalisasi!$K$3-Konvergensi!$C$521;2);PANGKAT(Normalisasi!$L$3-Konvergensi!$D$521;2);PANGKAT(Normalisasi!$M$3-Konvergensi!$E$521;2);PANGKAT(Normalisasi!$N$3-Konvergensi!$F$521;2);PANGKAT(Normalisasi!$O$3-Konvergensi!$G$521;2);PANGKAT(Normalisasi!$P$3-Konvergensi!$H$521;2));0))</f>
        <v/>
      </c>
      <c r="H467" t="n">
        <v>1</v>
      </c>
      <c r="I467" t="n">
        <v>6.219456093813692</v>
      </c>
    </row>
    <row r="468">
      <c r="A468">
        <f>Data_Awal!A4</f>
        <v/>
      </c>
      <c r="B468">
        <f>Data_Awal!B4</f>
        <v/>
      </c>
      <c r="C468">
        <f>AKAR(JUMLAH(PANGKAT(Normalisasi!$J$4-Konvergensi!$B$454;2);PANGKAT(Normalisasi!$K$4-Konvergensi!$C$454;2);PANGKAT(Normalisasi!$L$4-Konvergensi!$D$454;2);PANGKAT(Normalisasi!$M$4-Konvergensi!$E$454;2);PANGKAT(Normalisasi!$N$4-Konvergensi!$F$454;2);PANGKAT(Normalisasi!$O$4-Konvergensi!$G$454;2);PANGKAT(Normalisasi!$P$4-Konvergensi!$H$454;2)))</f>
        <v/>
      </c>
      <c r="D468">
        <f>AKAR(JUMLAH(PANGKAT(Normalisasi!$J$4-Konvergensi!$B$455;2);PANGKAT(Normalisasi!$K$4-Konvergensi!$C$455;2);PANGKAT(Normalisasi!$L$4-Konvergensi!$D$455;2);PANGKAT(Normalisasi!$M$4-Konvergensi!$E$455;2);PANGKAT(Normalisasi!$N$4-Konvergensi!$F$455;2);PANGKAT(Normalisasi!$O$4-Konvergensi!$G$455;2);PANGKAT(Normalisasi!$P$4-Konvergensi!$H$455;2)))</f>
        <v/>
      </c>
      <c r="E468">
        <f>AKAR(JUMLAH(PANGKAT(Normalisasi!$J$4-Konvergensi!$B$456;2);PANGKAT(Normalisasi!$K$4-Konvergensi!$C$456;2);PANGKAT(Normalisasi!$L$4-Konvergensi!$D$456;2);PANGKAT(Normalisasi!$M$4-Konvergensi!$E$456;2);PANGKAT(Normalisasi!$N$4-Konvergensi!$F$456;2);PANGKAT(Normalisasi!$O$4-Konvergensi!$G$456;2);PANGKAT(Normalisasi!$P$4-Konvergensi!$H$456;2)))</f>
        <v/>
      </c>
      <c r="F468">
        <f>JIKA(C468&lt;=D468;=JIKA(C468&lt;=E468;0;2);=JIKA(D468&lt;=E468;1;2))</f>
        <v/>
      </c>
      <c r="G468">
        <f>JUMLAH(JIKA(F468=0;JUMLAH(PANGKAT(Normalisasi!$J$4-Konvergensi!$B$519;2);PANGKAT(Normalisasi!$K$4-Konvergensi!$C$519;2);PANGKAT(Normalisasi!$L$4-Konvergensi!$D$519;2);PANGKAT(Normalisasi!$M$4-Konvergensi!$E$519;2);PANGKAT(Normalisasi!$N$4-Konvergensi!$F$519;2);PANGKAT(Normalisasi!$O$4-Konvergensi!$G$519;2);PANGKAT(Normalisasi!$P$4-Konvergensi!$H$519;2));0);JIKA(F468=1;JUMLAH(PANGKAT(Normalisasi!$J$4-Konvergensi!$B$520;2);PANGKAT(Normalisasi!$K$4-Konvergensi!$C$520;2);PANGKAT(Normalisasi!$L$4-Konvergensi!$D$520;2);PANGKAT(Normalisasi!$M$4-Konvergensi!$E$520;2);PANGKAT(Normalisasi!$N$4-Konvergensi!$F$520;2);PANGKAT(Normalisasi!$O$4-Konvergensi!$G$520;2);PANGKAT(Normalisasi!$P$4-Konvergensi!$H$520;2));0);JIKA(F468=2;JUMLAH(PANGKAT(Normalisasi!$J$4-Konvergensi!$B$521;2);PANGKAT(Normalisasi!$K$4-Konvergensi!$C$521;2);PANGKAT(Normalisasi!$L$4-Konvergensi!$D$521;2);PANGKAT(Normalisasi!$M$4-Konvergensi!$E$521;2);PANGKAT(Normalisasi!$N$4-Konvergensi!$F$521;2);PANGKAT(Normalisasi!$O$4-Konvergensi!$G$521;2);PANGKAT(Normalisasi!$P$4-Konvergensi!$H$521;2));0))</f>
        <v/>
      </c>
      <c r="H468" t="n">
        <v>1</v>
      </c>
      <c r="I468" t="n">
        <v>5.986214447050536</v>
      </c>
    </row>
    <row r="469">
      <c r="A469">
        <f>Data_Awal!A5</f>
        <v/>
      </c>
      <c r="B469">
        <f>Data_Awal!B5</f>
        <v/>
      </c>
      <c r="C469">
        <f>AKAR(JUMLAH(PANGKAT(Normalisasi!$J$5-Konvergensi!$B$454;2);PANGKAT(Normalisasi!$K$5-Konvergensi!$C$454;2);PANGKAT(Normalisasi!$L$5-Konvergensi!$D$454;2);PANGKAT(Normalisasi!$M$5-Konvergensi!$E$454;2);PANGKAT(Normalisasi!$N$5-Konvergensi!$F$454;2);PANGKAT(Normalisasi!$O$5-Konvergensi!$G$454;2);PANGKAT(Normalisasi!$P$5-Konvergensi!$H$454;2)))</f>
        <v/>
      </c>
      <c r="D469">
        <f>AKAR(JUMLAH(PANGKAT(Normalisasi!$J$5-Konvergensi!$B$455;2);PANGKAT(Normalisasi!$K$5-Konvergensi!$C$455;2);PANGKAT(Normalisasi!$L$5-Konvergensi!$D$455;2);PANGKAT(Normalisasi!$M$5-Konvergensi!$E$455;2);PANGKAT(Normalisasi!$N$5-Konvergensi!$F$455;2);PANGKAT(Normalisasi!$O$5-Konvergensi!$G$455;2);PANGKAT(Normalisasi!$P$5-Konvergensi!$H$455;2)))</f>
        <v/>
      </c>
      <c r="E469">
        <f>AKAR(JUMLAH(PANGKAT(Normalisasi!$J$5-Konvergensi!$B$456;2);PANGKAT(Normalisasi!$K$5-Konvergensi!$C$456;2);PANGKAT(Normalisasi!$L$5-Konvergensi!$D$456;2);PANGKAT(Normalisasi!$M$5-Konvergensi!$E$456;2);PANGKAT(Normalisasi!$N$5-Konvergensi!$F$456;2);PANGKAT(Normalisasi!$O$5-Konvergensi!$G$456;2);PANGKAT(Normalisasi!$P$5-Konvergensi!$H$456;2)))</f>
        <v/>
      </c>
      <c r="F469">
        <f>JIKA(C469&lt;=D469;=JIKA(C469&lt;=E469;0;2);=JIKA(D469&lt;=E469;1;2))</f>
        <v/>
      </c>
      <c r="G469">
        <f>JUMLAH(JIKA(F469=0;JUMLAH(PANGKAT(Normalisasi!$J$5-Konvergensi!$B$519;2);PANGKAT(Normalisasi!$K$5-Konvergensi!$C$519;2);PANGKAT(Normalisasi!$L$5-Konvergensi!$D$519;2);PANGKAT(Normalisasi!$M$5-Konvergensi!$E$519;2);PANGKAT(Normalisasi!$N$5-Konvergensi!$F$519;2);PANGKAT(Normalisasi!$O$5-Konvergensi!$G$519;2);PANGKAT(Normalisasi!$P$5-Konvergensi!$H$519;2));0);JIKA(F469=1;JUMLAH(PANGKAT(Normalisasi!$J$5-Konvergensi!$B$520;2);PANGKAT(Normalisasi!$K$5-Konvergensi!$C$520;2);PANGKAT(Normalisasi!$L$5-Konvergensi!$D$520;2);PANGKAT(Normalisasi!$M$5-Konvergensi!$E$520;2);PANGKAT(Normalisasi!$N$5-Konvergensi!$F$520;2);PANGKAT(Normalisasi!$O$5-Konvergensi!$G$520;2);PANGKAT(Normalisasi!$P$5-Konvergensi!$H$520;2));0);JIKA(F469=2;JUMLAH(PANGKAT(Normalisasi!$J$5-Konvergensi!$B$521;2);PANGKAT(Normalisasi!$K$5-Konvergensi!$C$521;2);PANGKAT(Normalisasi!$L$5-Konvergensi!$D$521;2);PANGKAT(Normalisasi!$M$5-Konvergensi!$E$521;2);PANGKAT(Normalisasi!$N$5-Konvergensi!$F$521;2);PANGKAT(Normalisasi!$O$5-Konvergensi!$G$521;2);PANGKAT(Normalisasi!$P$5-Konvergensi!$H$521;2));0))</f>
        <v/>
      </c>
      <c r="H469" t="n">
        <v>0</v>
      </c>
      <c r="I469" t="n">
        <v>6.371471030585231</v>
      </c>
    </row>
    <row r="470">
      <c r="A470">
        <f>Data_Awal!A6</f>
        <v/>
      </c>
      <c r="B470">
        <f>Data_Awal!B6</f>
        <v/>
      </c>
      <c r="C470">
        <f>AKAR(JUMLAH(PANGKAT(Normalisasi!$J$6-Konvergensi!$B$454;2);PANGKAT(Normalisasi!$K$6-Konvergensi!$C$454;2);PANGKAT(Normalisasi!$L$6-Konvergensi!$D$454;2);PANGKAT(Normalisasi!$M$6-Konvergensi!$E$454;2);PANGKAT(Normalisasi!$N$6-Konvergensi!$F$454;2);PANGKAT(Normalisasi!$O$6-Konvergensi!$G$454;2);PANGKAT(Normalisasi!$P$6-Konvergensi!$H$454;2)))</f>
        <v/>
      </c>
      <c r="D470">
        <f>AKAR(JUMLAH(PANGKAT(Normalisasi!$J$6-Konvergensi!$B$455;2);PANGKAT(Normalisasi!$K$6-Konvergensi!$C$455;2);PANGKAT(Normalisasi!$L$6-Konvergensi!$D$455;2);PANGKAT(Normalisasi!$M$6-Konvergensi!$E$455;2);PANGKAT(Normalisasi!$N$6-Konvergensi!$F$455;2);PANGKAT(Normalisasi!$O$6-Konvergensi!$G$455;2);PANGKAT(Normalisasi!$P$6-Konvergensi!$H$455;2)))</f>
        <v/>
      </c>
      <c r="E470">
        <f>AKAR(JUMLAH(PANGKAT(Normalisasi!$J$6-Konvergensi!$B$456;2);PANGKAT(Normalisasi!$K$6-Konvergensi!$C$456;2);PANGKAT(Normalisasi!$L$6-Konvergensi!$D$456;2);PANGKAT(Normalisasi!$M$6-Konvergensi!$E$456;2);PANGKAT(Normalisasi!$N$6-Konvergensi!$F$456;2);PANGKAT(Normalisasi!$O$6-Konvergensi!$G$456;2);PANGKAT(Normalisasi!$P$6-Konvergensi!$H$456;2)))</f>
        <v/>
      </c>
      <c r="F470">
        <f>JIKA(C470&lt;=D470;=JIKA(C470&lt;=E470;0;2);=JIKA(D470&lt;=E470;1;2))</f>
        <v/>
      </c>
      <c r="G470">
        <f>JUMLAH(JIKA(F470=0;JUMLAH(PANGKAT(Normalisasi!$J$6-Konvergensi!$B$519;2);PANGKAT(Normalisasi!$K$6-Konvergensi!$C$519;2);PANGKAT(Normalisasi!$L$6-Konvergensi!$D$519;2);PANGKAT(Normalisasi!$M$6-Konvergensi!$E$519;2);PANGKAT(Normalisasi!$N$6-Konvergensi!$F$519;2);PANGKAT(Normalisasi!$O$6-Konvergensi!$G$519;2);PANGKAT(Normalisasi!$P$6-Konvergensi!$H$519;2));0);JIKA(F470=1;JUMLAH(PANGKAT(Normalisasi!$J$6-Konvergensi!$B$520;2);PANGKAT(Normalisasi!$K$6-Konvergensi!$C$520;2);PANGKAT(Normalisasi!$L$6-Konvergensi!$D$520;2);PANGKAT(Normalisasi!$M$6-Konvergensi!$E$520;2);PANGKAT(Normalisasi!$N$6-Konvergensi!$F$520;2);PANGKAT(Normalisasi!$O$6-Konvergensi!$G$520;2);PANGKAT(Normalisasi!$P$6-Konvergensi!$H$520;2));0);JIKA(F470=2;JUMLAH(PANGKAT(Normalisasi!$J$6-Konvergensi!$B$521;2);PANGKAT(Normalisasi!$K$6-Konvergensi!$C$521;2);PANGKAT(Normalisasi!$L$6-Konvergensi!$D$521;2);PANGKAT(Normalisasi!$M$6-Konvergensi!$E$521;2);PANGKAT(Normalisasi!$N$6-Konvergensi!$F$521;2);PANGKAT(Normalisasi!$O$6-Konvergensi!$G$521;2);PANGKAT(Normalisasi!$P$6-Konvergensi!$H$521;2));0))</f>
        <v/>
      </c>
      <c r="H470" t="n">
        <v>0</v>
      </c>
      <c r="I470" t="n">
        <v>5.528211810479535</v>
      </c>
    </row>
    <row r="471">
      <c r="A471">
        <f>Data_Awal!A7</f>
        <v/>
      </c>
      <c r="B471">
        <f>Data_Awal!B7</f>
        <v/>
      </c>
      <c r="C471">
        <f>AKAR(JUMLAH(PANGKAT(Normalisasi!$J$7-Konvergensi!$B$454;2);PANGKAT(Normalisasi!$K$7-Konvergensi!$C$454;2);PANGKAT(Normalisasi!$L$7-Konvergensi!$D$454;2);PANGKAT(Normalisasi!$M$7-Konvergensi!$E$454;2);PANGKAT(Normalisasi!$N$7-Konvergensi!$F$454;2);PANGKAT(Normalisasi!$O$7-Konvergensi!$G$454;2);PANGKAT(Normalisasi!$P$7-Konvergensi!$H$454;2)))</f>
        <v/>
      </c>
      <c r="D471">
        <f>AKAR(JUMLAH(PANGKAT(Normalisasi!$J$7-Konvergensi!$B$455;2);PANGKAT(Normalisasi!$K$7-Konvergensi!$C$455;2);PANGKAT(Normalisasi!$L$7-Konvergensi!$D$455;2);PANGKAT(Normalisasi!$M$7-Konvergensi!$E$455;2);PANGKAT(Normalisasi!$N$7-Konvergensi!$F$455;2);PANGKAT(Normalisasi!$O$7-Konvergensi!$G$455;2);PANGKAT(Normalisasi!$P$7-Konvergensi!$H$455;2)))</f>
        <v/>
      </c>
      <c r="E471">
        <f>AKAR(JUMLAH(PANGKAT(Normalisasi!$J$7-Konvergensi!$B$456;2);PANGKAT(Normalisasi!$K$7-Konvergensi!$C$456;2);PANGKAT(Normalisasi!$L$7-Konvergensi!$D$456;2);PANGKAT(Normalisasi!$M$7-Konvergensi!$E$456;2);PANGKAT(Normalisasi!$N$7-Konvergensi!$F$456;2);PANGKAT(Normalisasi!$O$7-Konvergensi!$G$456;2);PANGKAT(Normalisasi!$P$7-Konvergensi!$H$456;2)))</f>
        <v/>
      </c>
      <c r="F471">
        <f>JIKA(C471&lt;=D471;=JIKA(C471&lt;=E471;0;2);=JIKA(D471&lt;=E471;1;2))</f>
        <v/>
      </c>
      <c r="G471">
        <f>JUMLAH(JIKA(F471=0;JUMLAH(PANGKAT(Normalisasi!$J$7-Konvergensi!$B$519;2);PANGKAT(Normalisasi!$K$7-Konvergensi!$C$519;2);PANGKAT(Normalisasi!$L$7-Konvergensi!$D$519;2);PANGKAT(Normalisasi!$M$7-Konvergensi!$E$519;2);PANGKAT(Normalisasi!$N$7-Konvergensi!$F$519;2);PANGKAT(Normalisasi!$O$7-Konvergensi!$G$519;2);PANGKAT(Normalisasi!$P$7-Konvergensi!$H$519;2));0);JIKA(F471=1;JUMLAH(PANGKAT(Normalisasi!$J$7-Konvergensi!$B$520;2);PANGKAT(Normalisasi!$K$7-Konvergensi!$C$520;2);PANGKAT(Normalisasi!$L$7-Konvergensi!$D$520;2);PANGKAT(Normalisasi!$M$7-Konvergensi!$E$520;2);PANGKAT(Normalisasi!$N$7-Konvergensi!$F$520;2);PANGKAT(Normalisasi!$O$7-Konvergensi!$G$520;2);PANGKAT(Normalisasi!$P$7-Konvergensi!$H$520;2));0);JIKA(F471=2;JUMLAH(PANGKAT(Normalisasi!$J$7-Konvergensi!$B$521;2);PANGKAT(Normalisasi!$K$7-Konvergensi!$C$521;2);PANGKAT(Normalisasi!$L$7-Konvergensi!$D$521;2);PANGKAT(Normalisasi!$M$7-Konvergensi!$E$521;2);PANGKAT(Normalisasi!$N$7-Konvergensi!$F$521;2);PANGKAT(Normalisasi!$O$7-Konvergensi!$G$521;2);PANGKAT(Normalisasi!$P$7-Konvergensi!$H$521;2));0))</f>
        <v/>
      </c>
      <c r="H471" t="n">
        <v>0</v>
      </c>
      <c r="I471" t="n">
        <v>7.058643848856873</v>
      </c>
    </row>
    <row r="472">
      <c r="A472">
        <f>Data_Awal!A8</f>
        <v/>
      </c>
      <c r="B472">
        <f>Data_Awal!B8</f>
        <v/>
      </c>
      <c r="C472">
        <f>AKAR(JUMLAH(PANGKAT(Normalisasi!$J$8-Konvergensi!$B$454;2);PANGKAT(Normalisasi!$K$8-Konvergensi!$C$454;2);PANGKAT(Normalisasi!$L$8-Konvergensi!$D$454;2);PANGKAT(Normalisasi!$M$8-Konvergensi!$E$454;2);PANGKAT(Normalisasi!$N$8-Konvergensi!$F$454;2);PANGKAT(Normalisasi!$O$8-Konvergensi!$G$454;2);PANGKAT(Normalisasi!$P$8-Konvergensi!$H$454;2)))</f>
        <v/>
      </c>
      <c r="D472">
        <f>AKAR(JUMLAH(PANGKAT(Normalisasi!$J$8-Konvergensi!$B$455;2);PANGKAT(Normalisasi!$K$8-Konvergensi!$C$455;2);PANGKAT(Normalisasi!$L$8-Konvergensi!$D$455;2);PANGKAT(Normalisasi!$M$8-Konvergensi!$E$455;2);PANGKAT(Normalisasi!$N$8-Konvergensi!$F$455;2);PANGKAT(Normalisasi!$O$8-Konvergensi!$G$455;2);PANGKAT(Normalisasi!$P$8-Konvergensi!$H$455;2)))</f>
        <v/>
      </c>
      <c r="E472">
        <f>AKAR(JUMLAH(PANGKAT(Normalisasi!$J$8-Konvergensi!$B$456;2);PANGKAT(Normalisasi!$K$8-Konvergensi!$C$456;2);PANGKAT(Normalisasi!$L$8-Konvergensi!$D$456;2);PANGKAT(Normalisasi!$M$8-Konvergensi!$E$456;2);PANGKAT(Normalisasi!$N$8-Konvergensi!$F$456;2);PANGKAT(Normalisasi!$O$8-Konvergensi!$G$456;2);PANGKAT(Normalisasi!$P$8-Konvergensi!$H$456;2)))</f>
        <v/>
      </c>
      <c r="F472">
        <f>JIKA(C472&lt;=D472;=JIKA(C472&lt;=E472;0;2);=JIKA(D472&lt;=E472;1;2))</f>
        <v/>
      </c>
      <c r="G472">
        <f>JUMLAH(JIKA(F472=0;JUMLAH(PANGKAT(Normalisasi!$J$8-Konvergensi!$B$519;2);PANGKAT(Normalisasi!$K$8-Konvergensi!$C$519;2);PANGKAT(Normalisasi!$L$8-Konvergensi!$D$519;2);PANGKAT(Normalisasi!$M$8-Konvergensi!$E$519;2);PANGKAT(Normalisasi!$N$8-Konvergensi!$F$519;2);PANGKAT(Normalisasi!$O$8-Konvergensi!$G$519;2);PANGKAT(Normalisasi!$P$8-Konvergensi!$H$519;2));0);JIKA(F472=1;JUMLAH(PANGKAT(Normalisasi!$J$8-Konvergensi!$B$520;2);PANGKAT(Normalisasi!$K$8-Konvergensi!$C$520;2);PANGKAT(Normalisasi!$L$8-Konvergensi!$D$520;2);PANGKAT(Normalisasi!$M$8-Konvergensi!$E$520;2);PANGKAT(Normalisasi!$N$8-Konvergensi!$F$520;2);PANGKAT(Normalisasi!$O$8-Konvergensi!$G$520;2);PANGKAT(Normalisasi!$P$8-Konvergensi!$H$520;2));0);JIKA(F472=2;JUMLAH(PANGKAT(Normalisasi!$J$8-Konvergensi!$B$521;2);PANGKAT(Normalisasi!$K$8-Konvergensi!$C$521;2);PANGKAT(Normalisasi!$L$8-Konvergensi!$D$521;2);PANGKAT(Normalisasi!$M$8-Konvergensi!$E$521;2);PANGKAT(Normalisasi!$N$8-Konvergensi!$F$521;2);PANGKAT(Normalisasi!$O$8-Konvergensi!$G$521;2);PANGKAT(Normalisasi!$P$8-Konvergensi!$H$521;2));0))</f>
        <v/>
      </c>
      <c r="H472" t="n">
        <v>0</v>
      </c>
      <c r="I472" t="n">
        <v>8.071162073299824</v>
      </c>
    </row>
    <row r="473">
      <c r="A473">
        <f>Data_Awal!A9</f>
        <v/>
      </c>
      <c r="B473">
        <f>Data_Awal!B9</f>
        <v/>
      </c>
      <c r="C473">
        <f>AKAR(JUMLAH(PANGKAT(Normalisasi!$J$9-Konvergensi!$B$454;2);PANGKAT(Normalisasi!$K$9-Konvergensi!$C$454;2);PANGKAT(Normalisasi!$L$9-Konvergensi!$D$454;2);PANGKAT(Normalisasi!$M$9-Konvergensi!$E$454;2);PANGKAT(Normalisasi!$N$9-Konvergensi!$F$454;2);PANGKAT(Normalisasi!$O$9-Konvergensi!$G$454;2);PANGKAT(Normalisasi!$P$9-Konvergensi!$H$454;2)))</f>
        <v/>
      </c>
      <c r="D473">
        <f>AKAR(JUMLAH(PANGKAT(Normalisasi!$J$9-Konvergensi!$B$455;2);PANGKAT(Normalisasi!$K$9-Konvergensi!$C$455;2);PANGKAT(Normalisasi!$L$9-Konvergensi!$D$455;2);PANGKAT(Normalisasi!$M$9-Konvergensi!$E$455;2);PANGKAT(Normalisasi!$N$9-Konvergensi!$F$455;2);PANGKAT(Normalisasi!$O$9-Konvergensi!$G$455;2);PANGKAT(Normalisasi!$P$9-Konvergensi!$H$455;2)))</f>
        <v/>
      </c>
      <c r="E473">
        <f>AKAR(JUMLAH(PANGKAT(Normalisasi!$J$9-Konvergensi!$B$456;2);PANGKAT(Normalisasi!$K$9-Konvergensi!$C$456;2);PANGKAT(Normalisasi!$L$9-Konvergensi!$D$456;2);PANGKAT(Normalisasi!$M$9-Konvergensi!$E$456;2);PANGKAT(Normalisasi!$N$9-Konvergensi!$F$456;2);PANGKAT(Normalisasi!$O$9-Konvergensi!$G$456;2);PANGKAT(Normalisasi!$P$9-Konvergensi!$H$456;2)))</f>
        <v/>
      </c>
      <c r="F473">
        <f>JIKA(C473&lt;=D473;=JIKA(C473&lt;=E473;0;2);=JIKA(D473&lt;=E473;1;2))</f>
        <v/>
      </c>
      <c r="G473">
        <f>JUMLAH(JIKA(F473=0;JUMLAH(PANGKAT(Normalisasi!$J$9-Konvergensi!$B$519;2);PANGKAT(Normalisasi!$K$9-Konvergensi!$C$519;2);PANGKAT(Normalisasi!$L$9-Konvergensi!$D$519;2);PANGKAT(Normalisasi!$M$9-Konvergensi!$E$519;2);PANGKAT(Normalisasi!$N$9-Konvergensi!$F$519;2);PANGKAT(Normalisasi!$O$9-Konvergensi!$G$519;2);PANGKAT(Normalisasi!$P$9-Konvergensi!$H$519;2));0);JIKA(F473=1;JUMLAH(PANGKAT(Normalisasi!$J$9-Konvergensi!$B$520;2);PANGKAT(Normalisasi!$K$9-Konvergensi!$C$520;2);PANGKAT(Normalisasi!$L$9-Konvergensi!$D$520;2);PANGKAT(Normalisasi!$M$9-Konvergensi!$E$520;2);PANGKAT(Normalisasi!$N$9-Konvergensi!$F$520;2);PANGKAT(Normalisasi!$O$9-Konvergensi!$G$520;2);PANGKAT(Normalisasi!$P$9-Konvergensi!$H$520;2));0);JIKA(F473=2;JUMLAH(PANGKAT(Normalisasi!$J$9-Konvergensi!$B$521;2);PANGKAT(Normalisasi!$K$9-Konvergensi!$C$521;2);PANGKAT(Normalisasi!$L$9-Konvergensi!$D$521;2);PANGKAT(Normalisasi!$M$9-Konvergensi!$E$521;2);PANGKAT(Normalisasi!$N$9-Konvergensi!$F$521;2);PANGKAT(Normalisasi!$O$9-Konvergensi!$G$521;2);PANGKAT(Normalisasi!$P$9-Konvergensi!$H$521;2));0))</f>
        <v/>
      </c>
      <c r="H473" t="n">
        <v>1</v>
      </c>
      <c r="I473" t="n">
        <v>7.141395823476353</v>
      </c>
    </row>
    <row r="474">
      <c r="A474">
        <f>Data_Awal!A10</f>
        <v/>
      </c>
      <c r="B474">
        <f>Data_Awal!B10</f>
        <v/>
      </c>
      <c r="C474">
        <f>AKAR(JUMLAH(PANGKAT(Normalisasi!$J$10-Konvergensi!$B$454;2);PANGKAT(Normalisasi!$K$10-Konvergensi!$C$454;2);PANGKAT(Normalisasi!$L$10-Konvergensi!$D$454;2);PANGKAT(Normalisasi!$M$10-Konvergensi!$E$454;2);PANGKAT(Normalisasi!$N$10-Konvergensi!$F$454;2);PANGKAT(Normalisasi!$O$10-Konvergensi!$G$454;2);PANGKAT(Normalisasi!$P$10-Konvergensi!$H$454;2)))</f>
        <v/>
      </c>
      <c r="D474">
        <f>AKAR(JUMLAH(PANGKAT(Normalisasi!$J$10-Konvergensi!$B$455;2);PANGKAT(Normalisasi!$K$10-Konvergensi!$C$455;2);PANGKAT(Normalisasi!$L$10-Konvergensi!$D$455;2);PANGKAT(Normalisasi!$M$10-Konvergensi!$E$455;2);PANGKAT(Normalisasi!$N$10-Konvergensi!$F$455;2);PANGKAT(Normalisasi!$O$10-Konvergensi!$G$455;2);PANGKAT(Normalisasi!$P$10-Konvergensi!$H$455;2)))</f>
        <v/>
      </c>
      <c r="E474">
        <f>AKAR(JUMLAH(PANGKAT(Normalisasi!$J$10-Konvergensi!$B$456;2);PANGKAT(Normalisasi!$K$10-Konvergensi!$C$456;2);PANGKAT(Normalisasi!$L$10-Konvergensi!$D$456;2);PANGKAT(Normalisasi!$M$10-Konvergensi!$E$456;2);PANGKAT(Normalisasi!$N$10-Konvergensi!$F$456;2);PANGKAT(Normalisasi!$O$10-Konvergensi!$G$456;2);PANGKAT(Normalisasi!$P$10-Konvergensi!$H$456;2)))</f>
        <v/>
      </c>
      <c r="F474">
        <f>JIKA(C474&lt;=D474;=JIKA(C474&lt;=E474;0;2);=JIKA(D474&lt;=E474;1;2))</f>
        <v/>
      </c>
      <c r="G474">
        <f>JUMLAH(JIKA(F474=0;JUMLAH(PANGKAT(Normalisasi!$J$10-Konvergensi!$B$519;2);PANGKAT(Normalisasi!$K$10-Konvergensi!$C$519;2);PANGKAT(Normalisasi!$L$10-Konvergensi!$D$519;2);PANGKAT(Normalisasi!$M$10-Konvergensi!$E$519;2);PANGKAT(Normalisasi!$N$10-Konvergensi!$F$519;2);PANGKAT(Normalisasi!$O$10-Konvergensi!$G$519;2);PANGKAT(Normalisasi!$P$10-Konvergensi!$H$519;2));0);JIKA(F474=1;JUMLAH(PANGKAT(Normalisasi!$J$10-Konvergensi!$B$520;2);PANGKAT(Normalisasi!$K$10-Konvergensi!$C$520;2);PANGKAT(Normalisasi!$L$10-Konvergensi!$D$520;2);PANGKAT(Normalisasi!$M$10-Konvergensi!$E$520;2);PANGKAT(Normalisasi!$N$10-Konvergensi!$F$520;2);PANGKAT(Normalisasi!$O$10-Konvergensi!$G$520;2);PANGKAT(Normalisasi!$P$10-Konvergensi!$H$520;2));0);JIKA(F474=2;JUMLAH(PANGKAT(Normalisasi!$J$10-Konvergensi!$B$521;2);PANGKAT(Normalisasi!$K$10-Konvergensi!$C$521;2);PANGKAT(Normalisasi!$L$10-Konvergensi!$D$521;2);PANGKAT(Normalisasi!$M$10-Konvergensi!$E$521;2);PANGKAT(Normalisasi!$N$10-Konvergensi!$F$521;2);PANGKAT(Normalisasi!$O$10-Konvergensi!$G$521;2);PANGKAT(Normalisasi!$P$10-Konvergensi!$H$521;2));0))</f>
        <v/>
      </c>
      <c r="H474" t="n">
        <v>0</v>
      </c>
      <c r="I474" t="n">
        <v>3.639052274293011</v>
      </c>
    </row>
    <row r="475">
      <c r="A475">
        <f>Data_Awal!A11</f>
        <v/>
      </c>
      <c r="B475">
        <f>Data_Awal!B11</f>
        <v/>
      </c>
      <c r="C475">
        <f>AKAR(JUMLAH(PANGKAT(Normalisasi!$J$11-Konvergensi!$B$454;2);PANGKAT(Normalisasi!$K$11-Konvergensi!$C$454;2);PANGKAT(Normalisasi!$L$11-Konvergensi!$D$454;2);PANGKAT(Normalisasi!$M$11-Konvergensi!$E$454;2);PANGKAT(Normalisasi!$N$11-Konvergensi!$F$454;2);PANGKAT(Normalisasi!$O$11-Konvergensi!$G$454;2);PANGKAT(Normalisasi!$P$11-Konvergensi!$H$454;2)))</f>
        <v/>
      </c>
      <c r="D475">
        <f>AKAR(JUMLAH(PANGKAT(Normalisasi!$J$11-Konvergensi!$B$455;2);PANGKAT(Normalisasi!$K$11-Konvergensi!$C$455;2);PANGKAT(Normalisasi!$L$11-Konvergensi!$D$455;2);PANGKAT(Normalisasi!$M$11-Konvergensi!$E$455;2);PANGKAT(Normalisasi!$N$11-Konvergensi!$F$455;2);PANGKAT(Normalisasi!$O$11-Konvergensi!$G$455;2);PANGKAT(Normalisasi!$P$11-Konvergensi!$H$455;2)))</f>
        <v/>
      </c>
      <c r="E475">
        <f>AKAR(JUMLAH(PANGKAT(Normalisasi!$J$11-Konvergensi!$B$456;2);PANGKAT(Normalisasi!$K$11-Konvergensi!$C$456;2);PANGKAT(Normalisasi!$L$11-Konvergensi!$D$456;2);PANGKAT(Normalisasi!$M$11-Konvergensi!$E$456;2);PANGKAT(Normalisasi!$N$11-Konvergensi!$F$456;2);PANGKAT(Normalisasi!$O$11-Konvergensi!$G$456;2);PANGKAT(Normalisasi!$P$11-Konvergensi!$H$456;2)))</f>
        <v/>
      </c>
      <c r="F475">
        <f>JIKA(C475&lt;=D475;=JIKA(C475&lt;=E475;0;2);=JIKA(D475&lt;=E475;1;2))</f>
        <v/>
      </c>
      <c r="G475">
        <f>JUMLAH(JIKA(F475=0;JUMLAH(PANGKAT(Normalisasi!$J$11-Konvergensi!$B$519;2);PANGKAT(Normalisasi!$K$11-Konvergensi!$C$519;2);PANGKAT(Normalisasi!$L$11-Konvergensi!$D$519;2);PANGKAT(Normalisasi!$M$11-Konvergensi!$E$519;2);PANGKAT(Normalisasi!$N$11-Konvergensi!$F$519;2);PANGKAT(Normalisasi!$O$11-Konvergensi!$G$519;2);PANGKAT(Normalisasi!$P$11-Konvergensi!$H$519;2));0);JIKA(F475=1;JUMLAH(PANGKAT(Normalisasi!$J$11-Konvergensi!$B$520;2);PANGKAT(Normalisasi!$K$11-Konvergensi!$C$520;2);PANGKAT(Normalisasi!$L$11-Konvergensi!$D$520;2);PANGKAT(Normalisasi!$M$11-Konvergensi!$E$520;2);PANGKAT(Normalisasi!$N$11-Konvergensi!$F$520;2);PANGKAT(Normalisasi!$O$11-Konvergensi!$G$520;2);PANGKAT(Normalisasi!$P$11-Konvergensi!$H$520;2));0);JIKA(F475=2;JUMLAH(PANGKAT(Normalisasi!$J$11-Konvergensi!$B$521;2);PANGKAT(Normalisasi!$K$11-Konvergensi!$C$521;2);PANGKAT(Normalisasi!$L$11-Konvergensi!$D$521;2);PANGKAT(Normalisasi!$M$11-Konvergensi!$E$521;2);PANGKAT(Normalisasi!$N$11-Konvergensi!$F$521;2);PANGKAT(Normalisasi!$O$11-Konvergensi!$G$521;2);PANGKAT(Normalisasi!$P$11-Konvergensi!$H$521;2));0))</f>
        <v/>
      </c>
      <c r="H475" t="n">
        <v>1</v>
      </c>
      <c r="I475" t="n">
        <v>1.573799215733445</v>
      </c>
    </row>
    <row r="476">
      <c r="A476">
        <f>Data_Awal!A12</f>
        <v/>
      </c>
      <c r="B476">
        <f>Data_Awal!B12</f>
        <v/>
      </c>
      <c r="C476">
        <f>AKAR(JUMLAH(PANGKAT(Normalisasi!$J$12-Konvergensi!$B$454;2);PANGKAT(Normalisasi!$K$12-Konvergensi!$C$454;2);PANGKAT(Normalisasi!$L$12-Konvergensi!$D$454;2);PANGKAT(Normalisasi!$M$12-Konvergensi!$E$454;2);PANGKAT(Normalisasi!$N$12-Konvergensi!$F$454;2);PANGKAT(Normalisasi!$O$12-Konvergensi!$G$454;2);PANGKAT(Normalisasi!$P$12-Konvergensi!$H$454;2)))</f>
        <v/>
      </c>
      <c r="D476">
        <f>AKAR(JUMLAH(PANGKAT(Normalisasi!$J$12-Konvergensi!$B$455;2);PANGKAT(Normalisasi!$K$12-Konvergensi!$C$455;2);PANGKAT(Normalisasi!$L$12-Konvergensi!$D$455;2);PANGKAT(Normalisasi!$M$12-Konvergensi!$E$455;2);PANGKAT(Normalisasi!$N$12-Konvergensi!$F$455;2);PANGKAT(Normalisasi!$O$12-Konvergensi!$G$455;2);PANGKAT(Normalisasi!$P$12-Konvergensi!$H$455;2)))</f>
        <v/>
      </c>
      <c r="E476">
        <f>AKAR(JUMLAH(PANGKAT(Normalisasi!$J$12-Konvergensi!$B$456;2);PANGKAT(Normalisasi!$K$12-Konvergensi!$C$456;2);PANGKAT(Normalisasi!$L$12-Konvergensi!$D$456;2);PANGKAT(Normalisasi!$M$12-Konvergensi!$E$456;2);PANGKAT(Normalisasi!$N$12-Konvergensi!$F$456;2);PANGKAT(Normalisasi!$O$12-Konvergensi!$G$456;2);PANGKAT(Normalisasi!$P$12-Konvergensi!$H$456;2)))</f>
        <v/>
      </c>
      <c r="F476">
        <f>JIKA(C476&lt;=D476;=JIKA(C476&lt;=E476;0;2);=JIKA(D476&lt;=E476;1;2))</f>
        <v/>
      </c>
      <c r="G476">
        <f>JUMLAH(JIKA(F476=0;JUMLAH(PANGKAT(Normalisasi!$J$12-Konvergensi!$B$519;2);PANGKAT(Normalisasi!$K$12-Konvergensi!$C$519;2);PANGKAT(Normalisasi!$L$12-Konvergensi!$D$519;2);PANGKAT(Normalisasi!$M$12-Konvergensi!$E$519;2);PANGKAT(Normalisasi!$N$12-Konvergensi!$F$519;2);PANGKAT(Normalisasi!$O$12-Konvergensi!$G$519;2);PANGKAT(Normalisasi!$P$12-Konvergensi!$H$519;2));0);JIKA(F476=1;JUMLAH(PANGKAT(Normalisasi!$J$12-Konvergensi!$B$520;2);PANGKAT(Normalisasi!$K$12-Konvergensi!$C$520;2);PANGKAT(Normalisasi!$L$12-Konvergensi!$D$520;2);PANGKAT(Normalisasi!$M$12-Konvergensi!$E$520;2);PANGKAT(Normalisasi!$N$12-Konvergensi!$F$520;2);PANGKAT(Normalisasi!$O$12-Konvergensi!$G$520;2);PANGKAT(Normalisasi!$P$12-Konvergensi!$H$520;2));0);JIKA(F476=2;JUMLAH(PANGKAT(Normalisasi!$J$12-Konvergensi!$B$521;2);PANGKAT(Normalisasi!$K$12-Konvergensi!$C$521;2);PANGKAT(Normalisasi!$L$12-Konvergensi!$D$521;2);PANGKAT(Normalisasi!$M$12-Konvergensi!$E$521;2);PANGKAT(Normalisasi!$N$12-Konvergensi!$F$521;2);PANGKAT(Normalisasi!$O$12-Konvergensi!$G$521;2);PANGKAT(Normalisasi!$P$12-Konvergensi!$H$521;2));0))</f>
        <v/>
      </c>
      <c r="H476" t="n">
        <v>1</v>
      </c>
      <c r="I476" t="n">
        <v>7.985927693706085</v>
      </c>
    </row>
    <row r="477">
      <c r="A477">
        <f>Data_Awal!A13</f>
        <v/>
      </c>
      <c r="B477">
        <f>Data_Awal!B13</f>
        <v/>
      </c>
      <c r="C477">
        <f>AKAR(JUMLAH(PANGKAT(Normalisasi!$J$13-Konvergensi!$B$454;2);PANGKAT(Normalisasi!$K$13-Konvergensi!$C$454;2);PANGKAT(Normalisasi!$L$13-Konvergensi!$D$454;2);PANGKAT(Normalisasi!$M$13-Konvergensi!$E$454;2);PANGKAT(Normalisasi!$N$13-Konvergensi!$F$454;2);PANGKAT(Normalisasi!$O$13-Konvergensi!$G$454;2);PANGKAT(Normalisasi!$P$13-Konvergensi!$H$454;2)))</f>
        <v/>
      </c>
      <c r="D477">
        <f>AKAR(JUMLAH(PANGKAT(Normalisasi!$J$13-Konvergensi!$B$455;2);PANGKAT(Normalisasi!$K$13-Konvergensi!$C$455;2);PANGKAT(Normalisasi!$L$13-Konvergensi!$D$455;2);PANGKAT(Normalisasi!$M$13-Konvergensi!$E$455;2);PANGKAT(Normalisasi!$N$13-Konvergensi!$F$455;2);PANGKAT(Normalisasi!$O$13-Konvergensi!$G$455;2);PANGKAT(Normalisasi!$P$13-Konvergensi!$H$455;2)))</f>
        <v/>
      </c>
      <c r="E477">
        <f>AKAR(JUMLAH(PANGKAT(Normalisasi!$J$13-Konvergensi!$B$456;2);PANGKAT(Normalisasi!$K$13-Konvergensi!$C$456;2);PANGKAT(Normalisasi!$L$13-Konvergensi!$D$456;2);PANGKAT(Normalisasi!$M$13-Konvergensi!$E$456;2);PANGKAT(Normalisasi!$N$13-Konvergensi!$F$456;2);PANGKAT(Normalisasi!$O$13-Konvergensi!$G$456;2);PANGKAT(Normalisasi!$P$13-Konvergensi!$H$456;2)))</f>
        <v/>
      </c>
      <c r="F477">
        <f>JIKA(C477&lt;=D477;=JIKA(C477&lt;=E477;0;2);=JIKA(D477&lt;=E477;1;2))</f>
        <v/>
      </c>
      <c r="G477">
        <f>JUMLAH(JIKA(F477=0;JUMLAH(PANGKAT(Normalisasi!$J$13-Konvergensi!$B$519;2);PANGKAT(Normalisasi!$K$13-Konvergensi!$C$519;2);PANGKAT(Normalisasi!$L$13-Konvergensi!$D$519;2);PANGKAT(Normalisasi!$M$13-Konvergensi!$E$519;2);PANGKAT(Normalisasi!$N$13-Konvergensi!$F$519;2);PANGKAT(Normalisasi!$O$13-Konvergensi!$G$519;2);PANGKAT(Normalisasi!$P$13-Konvergensi!$H$519;2));0);JIKA(F477=1;JUMLAH(PANGKAT(Normalisasi!$J$13-Konvergensi!$B$520;2);PANGKAT(Normalisasi!$K$13-Konvergensi!$C$520;2);PANGKAT(Normalisasi!$L$13-Konvergensi!$D$520;2);PANGKAT(Normalisasi!$M$13-Konvergensi!$E$520;2);PANGKAT(Normalisasi!$N$13-Konvergensi!$F$520;2);PANGKAT(Normalisasi!$O$13-Konvergensi!$G$520;2);PANGKAT(Normalisasi!$P$13-Konvergensi!$H$520;2));0);JIKA(F477=2;JUMLAH(PANGKAT(Normalisasi!$J$13-Konvergensi!$B$521;2);PANGKAT(Normalisasi!$K$13-Konvergensi!$C$521;2);PANGKAT(Normalisasi!$L$13-Konvergensi!$D$521;2);PANGKAT(Normalisasi!$M$13-Konvergensi!$E$521;2);PANGKAT(Normalisasi!$N$13-Konvergensi!$F$521;2);PANGKAT(Normalisasi!$O$13-Konvergensi!$G$521;2);PANGKAT(Normalisasi!$P$13-Konvergensi!$H$521;2));0))</f>
        <v/>
      </c>
      <c r="H477" t="n">
        <v>1</v>
      </c>
      <c r="I477" t="n">
        <v>7.177787267379674</v>
      </c>
    </row>
    <row r="478">
      <c r="A478">
        <f>Data_Awal!A14</f>
        <v/>
      </c>
      <c r="B478">
        <f>Data_Awal!B14</f>
        <v/>
      </c>
      <c r="C478">
        <f>AKAR(JUMLAH(PANGKAT(Normalisasi!$J$14-Konvergensi!$B$454;2);PANGKAT(Normalisasi!$K$14-Konvergensi!$C$454;2);PANGKAT(Normalisasi!$L$14-Konvergensi!$D$454;2);PANGKAT(Normalisasi!$M$14-Konvergensi!$E$454;2);PANGKAT(Normalisasi!$N$14-Konvergensi!$F$454;2);PANGKAT(Normalisasi!$O$14-Konvergensi!$G$454;2);PANGKAT(Normalisasi!$P$14-Konvergensi!$H$454;2)))</f>
        <v/>
      </c>
      <c r="D478">
        <f>AKAR(JUMLAH(PANGKAT(Normalisasi!$J$14-Konvergensi!$B$455;2);PANGKAT(Normalisasi!$K$14-Konvergensi!$C$455;2);PANGKAT(Normalisasi!$L$14-Konvergensi!$D$455;2);PANGKAT(Normalisasi!$M$14-Konvergensi!$E$455;2);PANGKAT(Normalisasi!$N$14-Konvergensi!$F$455;2);PANGKAT(Normalisasi!$O$14-Konvergensi!$G$455;2);PANGKAT(Normalisasi!$P$14-Konvergensi!$H$455;2)))</f>
        <v/>
      </c>
      <c r="E478">
        <f>AKAR(JUMLAH(PANGKAT(Normalisasi!$J$14-Konvergensi!$B$456;2);PANGKAT(Normalisasi!$K$14-Konvergensi!$C$456;2);PANGKAT(Normalisasi!$L$14-Konvergensi!$D$456;2);PANGKAT(Normalisasi!$M$14-Konvergensi!$E$456;2);PANGKAT(Normalisasi!$N$14-Konvergensi!$F$456;2);PANGKAT(Normalisasi!$O$14-Konvergensi!$G$456;2);PANGKAT(Normalisasi!$P$14-Konvergensi!$H$456;2)))</f>
        <v/>
      </c>
      <c r="F478">
        <f>JIKA(C478&lt;=D478;=JIKA(C478&lt;=E478;0;2);=JIKA(D478&lt;=E478;1;2))</f>
        <v/>
      </c>
      <c r="G478">
        <f>JUMLAH(JIKA(F478=0;JUMLAH(PANGKAT(Normalisasi!$J$14-Konvergensi!$B$519;2);PANGKAT(Normalisasi!$K$14-Konvergensi!$C$519;2);PANGKAT(Normalisasi!$L$14-Konvergensi!$D$519;2);PANGKAT(Normalisasi!$M$14-Konvergensi!$E$519;2);PANGKAT(Normalisasi!$N$14-Konvergensi!$F$519;2);PANGKAT(Normalisasi!$O$14-Konvergensi!$G$519;2);PANGKAT(Normalisasi!$P$14-Konvergensi!$H$519;2));0);JIKA(F478=1;JUMLAH(PANGKAT(Normalisasi!$J$14-Konvergensi!$B$520;2);PANGKAT(Normalisasi!$K$14-Konvergensi!$C$520;2);PANGKAT(Normalisasi!$L$14-Konvergensi!$D$520;2);PANGKAT(Normalisasi!$M$14-Konvergensi!$E$520;2);PANGKAT(Normalisasi!$N$14-Konvergensi!$F$520;2);PANGKAT(Normalisasi!$O$14-Konvergensi!$G$520;2);PANGKAT(Normalisasi!$P$14-Konvergensi!$H$520;2));0);JIKA(F478=2;JUMLAH(PANGKAT(Normalisasi!$J$14-Konvergensi!$B$521;2);PANGKAT(Normalisasi!$K$14-Konvergensi!$C$521;2);PANGKAT(Normalisasi!$L$14-Konvergensi!$D$521;2);PANGKAT(Normalisasi!$M$14-Konvergensi!$E$521;2);PANGKAT(Normalisasi!$N$14-Konvergensi!$F$521;2);PANGKAT(Normalisasi!$O$14-Konvergensi!$G$521;2);PANGKAT(Normalisasi!$P$14-Konvergensi!$H$521;2));0))</f>
        <v/>
      </c>
      <c r="H478" t="n">
        <v>2</v>
      </c>
      <c r="I478" t="n">
        <v>3.649491816908533</v>
      </c>
    </row>
    <row r="479">
      <c r="A479">
        <f>Data_Awal!A15</f>
        <v/>
      </c>
      <c r="B479">
        <f>Data_Awal!B15</f>
        <v/>
      </c>
      <c r="C479">
        <f>AKAR(JUMLAH(PANGKAT(Normalisasi!$J$15-Konvergensi!$B$454;2);PANGKAT(Normalisasi!$K$15-Konvergensi!$C$454;2);PANGKAT(Normalisasi!$L$15-Konvergensi!$D$454;2);PANGKAT(Normalisasi!$M$15-Konvergensi!$E$454;2);PANGKAT(Normalisasi!$N$15-Konvergensi!$F$454;2);PANGKAT(Normalisasi!$O$15-Konvergensi!$G$454;2);PANGKAT(Normalisasi!$P$15-Konvergensi!$H$454;2)))</f>
        <v/>
      </c>
      <c r="D479">
        <f>AKAR(JUMLAH(PANGKAT(Normalisasi!$J$15-Konvergensi!$B$455;2);PANGKAT(Normalisasi!$K$15-Konvergensi!$C$455;2);PANGKAT(Normalisasi!$L$15-Konvergensi!$D$455;2);PANGKAT(Normalisasi!$M$15-Konvergensi!$E$455;2);PANGKAT(Normalisasi!$N$15-Konvergensi!$F$455;2);PANGKAT(Normalisasi!$O$15-Konvergensi!$G$455;2);PANGKAT(Normalisasi!$P$15-Konvergensi!$H$455;2)))</f>
        <v/>
      </c>
      <c r="E479">
        <f>AKAR(JUMLAH(PANGKAT(Normalisasi!$J$15-Konvergensi!$B$456;2);PANGKAT(Normalisasi!$K$15-Konvergensi!$C$456;2);PANGKAT(Normalisasi!$L$15-Konvergensi!$D$456;2);PANGKAT(Normalisasi!$M$15-Konvergensi!$E$456;2);PANGKAT(Normalisasi!$N$15-Konvergensi!$F$456;2);PANGKAT(Normalisasi!$O$15-Konvergensi!$G$456;2);PANGKAT(Normalisasi!$P$15-Konvergensi!$H$456;2)))</f>
        <v/>
      </c>
      <c r="F479">
        <f>JIKA(C479&lt;=D479;=JIKA(C479&lt;=E479;0;2);=JIKA(D479&lt;=E479;1;2))</f>
        <v/>
      </c>
      <c r="G479">
        <f>JUMLAH(JIKA(F479=0;JUMLAH(PANGKAT(Normalisasi!$J$15-Konvergensi!$B$519;2);PANGKAT(Normalisasi!$K$15-Konvergensi!$C$519;2);PANGKAT(Normalisasi!$L$15-Konvergensi!$D$519;2);PANGKAT(Normalisasi!$M$15-Konvergensi!$E$519;2);PANGKAT(Normalisasi!$N$15-Konvergensi!$F$519;2);PANGKAT(Normalisasi!$O$15-Konvergensi!$G$519;2);PANGKAT(Normalisasi!$P$15-Konvergensi!$H$519;2));0);JIKA(F479=1;JUMLAH(PANGKAT(Normalisasi!$J$15-Konvergensi!$B$520;2);PANGKAT(Normalisasi!$K$15-Konvergensi!$C$520;2);PANGKAT(Normalisasi!$L$15-Konvergensi!$D$520;2);PANGKAT(Normalisasi!$M$15-Konvergensi!$E$520;2);PANGKAT(Normalisasi!$N$15-Konvergensi!$F$520;2);PANGKAT(Normalisasi!$O$15-Konvergensi!$G$520;2);PANGKAT(Normalisasi!$P$15-Konvergensi!$H$520;2));0);JIKA(F479=2;JUMLAH(PANGKAT(Normalisasi!$J$15-Konvergensi!$B$521;2);PANGKAT(Normalisasi!$K$15-Konvergensi!$C$521;2);PANGKAT(Normalisasi!$L$15-Konvergensi!$D$521;2);PANGKAT(Normalisasi!$M$15-Konvergensi!$E$521;2);PANGKAT(Normalisasi!$N$15-Konvergensi!$F$521;2);PANGKAT(Normalisasi!$O$15-Konvergensi!$G$521;2);PANGKAT(Normalisasi!$P$15-Konvergensi!$H$521;2));0))</f>
        <v/>
      </c>
      <c r="H479" t="n">
        <v>0</v>
      </c>
      <c r="I479" t="n">
        <v>3.096627905485882</v>
      </c>
    </row>
    <row r="480">
      <c r="A480">
        <f>Data_Awal!A16</f>
        <v/>
      </c>
      <c r="B480">
        <f>Data_Awal!B16</f>
        <v/>
      </c>
      <c r="C480">
        <f>AKAR(JUMLAH(PANGKAT(Normalisasi!$J$16-Konvergensi!$B$454;2);PANGKAT(Normalisasi!$K$16-Konvergensi!$C$454;2);PANGKAT(Normalisasi!$L$16-Konvergensi!$D$454;2);PANGKAT(Normalisasi!$M$16-Konvergensi!$E$454;2);PANGKAT(Normalisasi!$N$16-Konvergensi!$F$454;2);PANGKAT(Normalisasi!$O$16-Konvergensi!$G$454;2);PANGKAT(Normalisasi!$P$16-Konvergensi!$H$454;2)))</f>
        <v/>
      </c>
      <c r="D480">
        <f>AKAR(JUMLAH(PANGKAT(Normalisasi!$J$16-Konvergensi!$B$455;2);PANGKAT(Normalisasi!$K$16-Konvergensi!$C$455;2);PANGKAT(Normalisasi!$L$16-Konvergensi!$D$455;2);PANGKAT(Normalisasi!$M$16-Konvergensi!$E$455;2);PANGKAT(Normalisasi!$N$16-Konvergensi!$F$455;2);PANGKAT(Normalisasi!$O$16-Konvergensi!$G$455;2);PANGKAT(Normalisasi!$P$16-Konvergensi!$H$455;2)))</f>
        <v/>
      </c>
      <c r="E480">
        <f>AKAR(JUMLAH(PANGKAT(Normalisasi!$J$16-Konvergensi!$B$456;2);PANGKAT(Normalisasi!$K$16-Konvergensi!$C$456;2);PANGKAT(Normalisasi!$L$16-Konvergensi!$D$456;2);PANGKAT(Normalisasi!$M$16-Konvergensi!$E$456;2);PANGKAT(Normalisasi!$N$16-Konvergensi!$F$456;2);PANGKAT(Normalisasi!$O$16-Konvergensi!$G$456;2);PANGKAT(Normalisasi!$P$16-Konvergensi!$H$456;2)))</f>
        <v/>
      </c>
      <c r="F480">
        <f>JIKA(C480&lt;=D480;=JIKA(C480&lt;=E480;0;2);=JIKA(D480&lt;=E480;1;2))</f>
        <v/>
      </c>
      <c r="G480">
        <f>JUMLAH(JIKA(F480=0;JUMLAH(PANGKAT(Normalisasi!$J$16-Konvergensi!$B$519;2);PANGKAT(Normalisasi!$K$16-Konvergensi!$C$519;2);PANGKAT(Normalisasi!$L$16-Konvergensi!$D$519;2);PANGKAT(Normalisasi!$M$16-Konvergensi!$E$519;2);PANGKAT(Normalisasi!$N$16-Konvergensi!$F$519;2);PANGKAT(Normalisasi!$O$16-Konvergensi!$G$519;2);PANGKAT(Normalisasi!$P$16-Konvergensi!$H$519;2));0);JIKA(F480=1;JUMLAH(PANGKAT(Normalisasi!$J$16-Konvergensi!$B$520;2);PANGKAT(Normalisasi!$K$16-Konvergensi!$C$520;2);PANGKAT(Normalisasi!$L$16-Konvergensi!$D$520;2);PANGKAT(Normalisasi!$M$16-Konvergensi!$E$520;2);PANGKAT(Normalisasi!$N$16-Konvergensi!$F$520;2);PANGKAT(Normalisasi!$O$16-Konvergensi!$G$520;2);PANGKAT(Normalisasi!$P$16-Konvergensi!$H$520;2));0);JIKA(F480=2;JUMLAH(PANGKAT(Normalisasi!$J$16-Konvergensi!$B$521;2);PANGKAT(Normalisasi!$K$16-Konvergensi!$C$521;2);PANGKAT(Normalisasi!$L$16-Konvergensi!$D$521;2);PANGKAT(Normalisasi!$M$16-Konvergensi!$E$521;2);PANGKAT(Normalisasi!$N$16-Konvergensi!$F$521;2);PANGKAT(Normalisasi!$O$16-Konvergensi!$G$521;2);PANGKAT(Normalisasi!$P$16-Konvergensi!$H$521;2));0))</f>
        <v/>
      </c>
      <c r="H480" t="n">
        <v>1</v>
      </c>
      <c r="I480" t="n">
        <v>7.366768957039133</v>
      </c>
    </row>
    <row r="481">
      <c r="A481">
        <f>Data_Awal!A17</f>
        <v/>
      </c>
      <c r="B481">
        <f>Data_Awal!B17</f>
        <v/>
      </c>
      <c r="C481">
        <f>AKAR(JUMLAH(PANGKAT(Normalisasi!$J$17-Konvergensi!$B$454;2);PANGKAT(Normalisasi!$K$17-Konvergensi!$C$454;2);PANGKAT(Normalisasi!$L$17-Konvergensi!$D$454;2);PANGKAT(Normalisasi!$M$17-Konvergensi!$E$454;2);PANGKAT(Normalisasi!$N$17-Konvergensi!$F$454;2);PANGKAT(Normalisasi!$O$17-Konvergensi!$G$454;2);PANGKAT(Normalisasi!$P$17-Konvergensi!$H$454;2)))</f>
        <v/>
      </c>
      <c r="D481">
        <f>AKAR(JUMLAH(PANGKAT(Normalisasi!$J$17-Konvergensi!$B$455;2);PANGKAT(Normalisasi!$K$17-Konvergensi!$C$455;2);PANGKAT(Normalisasi!$L$17-Konvergensi!$D$455;2);PANGKAT(Normalisasi!$M$17-Konvergensi!$E$455;2);PANGKAT(Normalisasi!$N$17-Konvergensi!$F$455;2);PANGKAT(Normalisasi!$O$17-Konvergensi!$G$455;2);PANGKAT(Normalisasi!$P$17-Konvergensi!$H$455;2)))</f>
        <v/>
      </c>
      <c r="E481">
        <f>AKAR(JUMLAH(PANGKAT(Normalisasi!$J$17-Konvergensi!$B$456;2);PANGKAT(Normalisasi!$K$17-Konvergensi!$C$456;2);PANGKAT(Normalisasi!$L$17-Konvergensi!$D$456;2);PANGKAT(Normalisasi!$M$17-Konvergensi!$E$456;2);PANGKAT(Normalisasi!$N$17-Konvergensi!$F$456;2);PANGKAT(Normalisasi!$O$17-Konvergensi!$G$456;2);PANGKAT(Normalisasi!$P$17-Konvergensi!$H$456;2)))</f>
        <v/>
      </c>
      <c r="F481">
        <f>JIKA(C481&lt;=D481;=JIKA(C481&lt;=E481;0;2);=JIKA(D481&lt;=E481;1;2))</f>
        <v/>
      </c>
      <c r="G481">
        <f>JUMLAH(JIKA(F481=0;JUMLAH(PANGKAT(Normalisasi!$J$17-Konvergensi!$B$519;2);PANGKAT(Normalisasi!$K$17-Konvergensi!$C$519;2);PANGKAT(Normalisasi!$L$17-Konvergensi!$D$519;2);PANGKAT(Normalisasi!$M$17-Konvergensi!$E$519;2);PANGKAT(Normalisasi!$N$17-Konvergensi!$F$519;2);PANGKAT(Normalisasi!$O$17-Konvergensi!$G$519;2);PANGKAT(Normalisasi!$P$17-Konvergensi!$H$519;2));0);JIKA(F481=1;JUMLAH(PANGKAT(Normalisasi!$J$17-Konvergensi!$B$520;2);PANGKAT(Normalisasi!$K$17-Konvergensi!$C$520;2);PANGKAT(Normalisasi!$L$17-Konvergensi!$D$520;2);PANGKAT(Normalisasi!$M$17-Konvergensi!$E$520;2);PANGKAT(Normalisasi!$N$17-Konvergensi!$F$520;2);PANGKAT(Normalisasi!$O$17-Konvergensi!$G$520;2);PANGKAT(Normalisasi!$P$17-Konvergensi!$H$520;2));0);JIKA(F481=2;JUMLAH(PANGKAT(Normalisasi!$J$17-Konvergensi!$B$521;2);PANGKAT(Normalisasi!$K$17-Konvergensi!$C$521;2);PANGKAT(Normalisasi!$L$17-Konvergensi!$D$521;2);PANGKAT(Normalisasi!$M$17-Konvergensi!$E$521;2);PANGKAT(Normalisasi!$N$17-Konvergensi!$F$521;2);PANGKAT(Normalisasi!$O$17-Konvergensi!$G$521;2);PANGKAT(Normalisasi!$P$17-Konvergensi!$H$521;2));0))</f>
        <v/>
      </c>
      <c r="H481" t="n">
        <v>1</v>
      </c>
      <c r="I481" t="n">
        <v>3.761388872614771</v>
      </c>
    </row>
    <row r="482">
      <c r="A482">
        <f>Data_Awal!A18</f>
        <v/>
      </c>
      <c r="B482">
        <f>Data_Awal!B18</f>
        <v/>
      </c>
      <c r="C482">
        <f>AKAR(JUMLAH(PANGKAT(Normalisasi!$J$18-Konvergensi!$B$454;2);PANGKAT(Normalisasi!$K$18-Konvergensi!$C$454;2);PANGKAT(Normalisasi!$L$18-Konvergensi!$D$454;2);PANGKAT(Normalisasi!$M$18-Konvergensi!$E$454;2);PANGKAT(Normalisasi!$N$18-Konvergensi!$F$454;2);PANGKAT(Normalisasi!$O$18-Konvergensi!$G$454;2);PANGKAT(Normalisasi!$P$18-Konvergensi!$H$454;2)))</f>
        <v/>
      </c>
      <c r="D482">
        <f>AKAR(JUMLAH(PANGKAT(Normalisasi!$J$18-Konvergensi!$B$455;2);PANGKAT(Normalisasi!$K$18-Konvergensi!$C$455;2);PANGKAT(Normalisasi!$L$18-Konvergensi!$D$455;2);PANGKAT(Normalisasi!$M$18-Konvergensi!$E$455;2);PANGKAT(Normalisasi!$N$18-Konvergensi!$F$455;2);PANGKAT(Normalisasi!$O$18-Konvergensi!$G$455;2);PANGKAT(Normalisasi!$P$18-Konvergensi!$H$455;2)))</f>
        <v/>
      </c>
      <c r="E482">
        <f>AKAR(JUMLAH(PANGKAT(Normalisasi!$J$18-Konvergensi!$B$456;2);PANGKAT(Normalisasi!$K$18-Konvergensi!$C$456;2);PANGKAT(Normalisasi!$L$18-Konvergensi!$D$456;2);PANGKAT(Normalisasi!$M$18-Konvergensi!$E$456;2);PANGKAT(Normalisasi!$N$18-Konvergensi!$F$456;2);PANGKAT(Normalisasi!$O$18-Konvergensi!$G$456;2);PANGKAT(Normalisasi!$P$18-Konvergensi!$H$456;2)))</f>
        <v/>
      </c>
      <c r="F482">
        <f>JIKA(C482&lt;=D482;=JIKA(C482&lt;=E482;0;2);=JIKA(D482&lt;=E482;1;2))</f>
        <v/>
      </c>
      <c r="G482">
        <f>JUMLAH(JIKA(F482=0;JUMLAH(PANGKAT(Normalisasi!$J$18-Konvergensi!$B$519;2);PANGKAT(Normalisasi!$K$18-Konvergensi!$C$519;2);PANGKAT(Normalisasi!$L$18-Konvergensi!$D$519;2);PANGKAT(Normalisasi!$M$18-Konvergensi!$E$519;2);PANGKAT(Normalisasi!$N$18-Konvergensi!$F$519;2);PANGKAT(Normalisasi!$O$18-Konvergensi!$G$519;2);PANGKAT(Normalisasi!$P$18-Konvergensi!$H$519;2));0);JIKA(F482=1;JUMLAH(PANGKAT(Normalisasi!$J$18-Konvergensi!$B$520;2);PANGKAT(Normalisasi!$K$18-Konvergensi!$C$520;2);PANGKAT(Normalisasi!$L$18-Konvergensi!$D$520;2);PANGKAT(Normalisasi!$M$18-Konvergensi!$E$520;2);PANGKAT(Normalisasi!$N$18-Konvergensi!$F$520;2);PANGKAT(Normalisasi!$O$18-Konvergensi!$G$520;2);PANGKAT(Normalisasi!$P$18-Konvergensi!$H$520;2));0);JIKA(F482=2;JUMLAH(PANGKAT(Normalisasi!$J$18-Konvergensi!$B$521;2);PANGKAT(Normalisasi!$K$18-Konvergensi!$C$521;2);PANGKAT(Normalisasi!$L$18-Konvergensi!$D$521;2);PANGKAT(Normalisasi!$M$18-Konvergensi!$E$521;2);PANGKAT(Normalisasi!$N$18-Konvergensi!$F$521;2);PANGKAT(Normalisasi!$O$18-Konvergensi!$G$521;2);PANGKAT(Normalisasi!$P$18-Konvergensi!$H$521;2));0))</f>
        <v/>
      </c>
      <c r="H482" t="n">
        <v>0</v>
      </c>
      <c r="I482" t="n">
        <v>6.671504108433535</v>
      </c>
    </row>
    <row r="483">
      <c r="A483">
        <f>Data_Awal!A19</f>
        <v/>
      </c>
      <c r="B483">
        <f>Data_Awal!B19</f>
        <v/>
      </c>
      <c r="C483">
        <f>AKAR(JUMLAH(PANGKAT(Normalisasi!$J$19-Konvergensi!$B$454;2);PANGKAT(Normalisasi!$K$19-Konvergensi!$C$454;2);PANGKAT(Normalisasi!$L$19-Konvergensi!$D$454;2);PANGKAT(Normalisasi!$M$19-Konvergensi!$E$454;2);PANGKAT(Normalisasi!$N$19-Konvergensi!$F$454;2);PANGKAT(Normalisasi!$O$19-Konvergensi!$G$454;2);PANGKAT(Normalisasi!$P$19-Konvergensi!$H$454;2)))</f>
        <v/>
      </c>
      <c r="D483">
        <f>AKAR(JUMLAH(PANGKAT(Normalisasi!$J$19-Konvergensi!$B$455;2);PANGKAT(Normalisasi!$K$19-Konvergensi!$C$455;2);PANGKAT(Normalisasi!$L$19-Konvergensi!$D$455;2);PANGKAT(Normalisasi!$M$19-Konvergensi!$E$455;2);PANGKAT(Normalisasi!$N$19-Konvergensi!$F$455;2);PANGKAT(Normalisasi!$O$19-Konvergensi!$G$455;2);PANGKAT(Normalisasi!$P$19-Konvergensi!$H$455;2)))</f>
        <v/>
      </c>
      <c r="E483">
        <f>AKAR(JUMLAH(PANGKAT(Normalisasi!$J$19-Konvergensi!$B$456;2);PANGKAT(Normalisasi!$K$19-Konvergensi!$C$456;2);PANGKAT(Normalisasi!$L$19-Konvergensi!$D$456;2);PANGKAT(Normalisasi!$M$19-Konvergensi!$E$456;2);PANGKAT(Normalisasi!$N$19-Konvergensi!$F$456;2);PANGKAT(Normalisasi!$O$19-Konvergensi!$G$456;2);PANGKAT(Normalisasi!$P$19-Konvergensi!$H$456;2)))</f>
        <v/>
      </c>
      <c r="F483">
        <f>JIKA(C483&lt;=D483;=JIKA(C483&lt;=E483;0;2);=JIKA(D483&lt;=E483;1;2))</f>
        <v/>
      </c>
      <c r="G483">
        <f>JUMLAH(JIKA(F483=0;JUMLAH(PANGKAT(Normalisasi!$J$19-Konvergensi!$B$519;2);PANGKAT(Normalisasi!$K$19-Konvergensi!$C$519;2);PANGKAT(Normalisasi!$L$19-Konvergensi!$D$519;2);PANGKAT(Normalisasi!$M$19-Konvergensi!$E$519;2);PANGKAT(Normalisasi!$N$19-Konvergensi!$F$519;2);PANGKAT(Normalisasi!$O$19-Konvergensi!$G$519;2);PANGKAT(Normalisasi!$P$19-Konvergensi!$H$519;2));0);JIKA(F483=1;JUMLAH(PANGKAT(Normalisasi!$J$19-Konvergensi!$B$520;2);PANGKAT(Normalisasi!$K$19-Konvergensi!$C$520;2);PANGKAT(Normalisasi!$L$19-Konvergensi!$D$520;2);PANGKAT(Normalisasi!$M$19-Konvergensi!$E$520;2);PANGKAT(Normalisasi!$N$19-Konvergensi!$F$520;2);PANGKAT(Normalisasi!$O$19-Konvergensi!$G$520;2);PANGKAT(Normalisasi!$P$19-Konvergensi!$H$520;2));0);JIKA(F483=2;JUMLAH(PANGKAT(Normalisasi!$J$19-Konvergensi!$B$521;2);PANGKAT(Normalisasi!$K$19-Konvergensi!$C$521;2);PANGKAT(Normalisasi!$L$19-Konvergensi!$D$521;2);PANGKAT(Normalisasi!$M$19-Konvergensi!$E$521;2);PANGKAT(Normalisasi!$N$19-Konvergensi!$F$521;2);PANGKAT(Normalisasi!$O$19-Konvergensi!$G$521;2);PANGKAT(Normalisasi!$P$19-Konvergensi!$H$521;2));0))</f>
        <v/>
      </c>
      <c r="H483" t="n">
        <v>0</v>
      </c>
      <c r="I483" t="n">
        <v>1.755167560632754</v>
      </c>
    </row>
    <row r="484">
      <c r="A484">
        <f>Data_Awal!A20</f>
        <v/>
      </c>
      <c r="B484">
        <f>Data_Awal!B20</f>
        <v/>
      </c>
      <c r="C484">
        <f>AKAR(JUMLAH(PANGKAT(Normalisasi!$J$20-Konvergensi!$B$454;2);PANGKAT(Normalisasi!$K$20-Konvergensi!$C$454;2);PANGKAT(Normalisasi!$L$20-Konvergensi!$D$454;2);PANGKAT(Normalisasi!$M$20-Konvergensi!$E$454;2);PANGKAT(Normalisasi!$N$20-Konvergensi!$F$454;2);PANGKAT(Normalisasi!$O$20-Konvergensi!$G$454;2);PANGKAT(Normalisasi!$P$20-Konvergensi!$H$454;2)))</f>
        <v/>
      </c>
      <c r="D484">
        <f>AKAR(JUMLAH(PANGKAT(Normalisasi!$J$20-Konvergensi!$B$455;2);PANGKAT(Normalisasi!$K$20-Konvergensi!$C$455;2);PANGKAT(Normalisasi!$L$20-Konvergensi!$D$455;2);PANGKAT(Normalisasi!$M$20-Konvergensi!$E$455;2);PANGKAT(Normalisasi!$N$20-Konvergensi!$F$455;2);PANGKAT(Normalisasi!$O$20-Konvergensi!$G$455;2);PANGKAT(Normalisasi!$P$20-Konvergensi!$H$455;2)))</f>
        <v/>
      </c>
      <c r="E484">
        <f>AKAR(JUMLAH(PANGKAT(Normalisasi!$J$20-Konvergensi!$B$456;2);PANGKAT(Normalisasi!$K$20-Konvergensi!$C$456;2);PANGKAT(Normalisasi!$L$20-Konvergensi!$D$456;2);PANGKAT(Normalisasi!$M$20-Konvergensi!$E$456;2);PANGKAT(Normalisasi!$N$20-Konvergensi!$F$456;2);PANGKAT(Normalisasi!$O$20-Konvergensi!$G$456;2);PANGKAT(Normalisasi!$P$20-Konvergensi!$H$456;2)))</f>
        <v/>
      </c>
      <c r="F484">
        <f>JIKA(C484&lt;=D484;=JIKA(C484&lt;=E484;0;2);=JIKA(D484&lt;=E484;1;2))</f>
        <v/>
      </c>
      <c r="G484">
        <f>JUMLAH(JIKA(F484=0;JUMLAH(PANGKAT(Normalisasi!$J$20-Konvergensi!$B$519;2);PANGKAT(Normalisasi!$K$20-Konvergensi!$C$519;2);PANGKAT(Normalisasi!$L$20-Konvergensi!$D$519;2);PANGKAT(Normalisasi!$M$20-Konvergensi!$E$519;2);PANGKAT(Normalisasi!$N$20-Konvergensi!$F$519;2);PANGKAT(Normalisasi!$O$20-Konvergensi!$G$519;2);PANGKAT(Normalisasi!$P$20-Konvergensi!$H$519;2));0);JIKA(F484=1;JUMLAH(PANGKAT(Normalisasi!$J$20-Konvergensi!$B$520;2);PANGKAT(Normalisasi!$K$20-Konvergensi!$C$520;2);PANGKAT(Normalisasi!$L$20-Konvergensi!$D$520;2);PANGKAT(Normalisasi!$M$20-Konvergensi!$E$520;2);PANGKAT(Normalisasi!$N$20-Konvergensi!$F$520;2);PANGKAT(Normalisasi!$O$20-Konvergensi!$G$520;2);PANGKAT(Normalisasi!$P$20-Konvergensi!$H$520;2));0);JIKA(F484=2;JUMLAH(PANGKAT(Normalisasi!$J$20-Konvergensi!$B$521;2);PANGKAT(Normalisasi!$K$20-Konvergensi!$C$521;2);PANGKAT(Normalisasi!$L$20-Konvergensi!$D$521;2);PANGKAT(Normalisasi!$M$20-Konvergensi!$E$521;2);PANGKAT(Normalisasi!$N$20-Konvergensi!$F$521;2);PANGKAT(Normalisasi!$O$20-Konvergensi!$G$521;2);PANGKAT(Normalisasi!$P$20-Konvergensi!$H$521;2));0))</f>
        <v/>
      </c>
      <c r="H484" t="n">
        <v>0</v>
      </c>
      <c r="I484" t="n">
        <v>4.860356339106664</v>
      </c>
    </row>
    <row r="485">
      <c r="A485">
        <f>Data_Awal!A21</f>
        <v/>
      </c>
      <c r="B485">
        <f>Data_Awal!B21</f>
        <v/>
      </c>
      <c r="C485">
        <f>AKAR(JUMLAH(PANGKAT(Normalisasi!$J$21-Konvergensi!$B$454;2);PANGKAT(Normalisasi!$K$21-Konvergensi!$C$454;2);PANGKAT(Normalisasi!$L$21-Konvergensi!$D$454;2);PANGKAT(Normalisasi!$M$21-Konvergensi!$E$454;2);PANGKAT(Normalisasi!$N$21-Konvergensi!$F$454;2);PANGKAT(Normalisasi!$O$21-Konvergensi!$G$454;2);PANGKAT(Normalisasi!$P$21-Konvergensi!$H$454;2)))</f>
        <v/>
      </c>
      <c r="D485">
        <f>AKAR(JUMLAH(PANGKAT(Normalisasi!$J$21-Konvergensi!$B$455;2);PANGKAT(Normalisasi!$K$21-Konvergensi!$C$455;2);PANGKAT(Normalisasi!$L$21-Konvergensi!$D$455;2);PANGKAT(Normalisasi!$M$21-Konvergensi!$E$455;2);PANGKAT(Normalisasi!$N$21-Konvergensi!$F$455;2);PANGKAT(Normalisasi!$O$21-Konvergensi!$G$455;2);PANGKAT(Normalisasi!$P$21-Konvergensi!$H$455;2)))</f>
        <v/>
      </c>
      <c r="E485">
        <f>AKAR(JUMLAH(PANGKAT(Normalisasi!$J$21-Konvergensi!$B$456;2);PANGKAT(Normalisasi!$K$21-Konvergensi!$C$456;2);PANGKAT(Normalisasi!$L$21-Konvergensi!$D$456;2);PANGKAT(Normalisasi!$M$21-Konvergensi!$E$456;2);PANGKAT(Normalisasi!$N$21-Konvergensi!$F$456;2);PANGKAT(Normalisasi!$O$21-Konvergensi!$G$456;2);PANGKAT(Normalisasi!$P$21-Konvergensi!$H$456;2)))</f>
        <v/>
      </c>
      <c r="F485">
        <f>JIKA(C485&lt;=D485;=JIKA(C485&lt;=E485;0;2);=JIKA(D485&lt;=E485;1;2))</f>
        <v/>
      </c>
      <c r="G485">
        <f>JUMLAH(JIKA(F485=0;JUMLAH(PANGKAT(Normalisasi!$J$21-Konvergensi!$B$519;2);PANGKAT(Normalisasi!$K$21-Konvergensi!$C$519;2);PANGKAT(Normalisasi!$L$21-Konvergensi!$D$519;2);PANGKAT(Normalisasi!$M$21-Konvergensi!$E$519;2);PANGKAT(Normalisasi!$N$21-Konvergensi!$F$519;2);PANGKAT(Normalisasi!$O$21-Konvergensi!$G$519;2);PANGKAT(Normalisasi!$P$21-Konvergensi!$H$519;2));0);JIKA(F485=1;JUMLAH(PANGKAT(Normalisasi!$J$21-Konvergensi!$B$520;2);PANGKAT(Normalisasi!$K$21-Konvergensi!$C$520;2);PANGKAT(Normalisasi!$L$21-Konvergensi!$D$520;2);PANGKAT(Normalisasi!$M$21-Konvergensi!$E$520;2);PANGKAT(Normalisasi!$N$21-Konvergensi!$F$520;2);PANGKAT(Normalisasi!$O$21-Konvergensi!$G$520;2);PANGKAT(Normalisasi!$P$21-Konvergensi!$H$520;2));0);JIKA(F485=2;JUMLAH(PANGKAT(Normalisasi!$J$21-Konvergensi!$B$521;2);PANGKAT(Normalisasi!$K$21-Konvergensi!$C$521;2);PANGKAT(Normalisasi!$L$21-Konvergensi!$D$521;2);PANGKAT(Normalisasi!$M$21-Konvergensi!$E$521;2);PANGKAT(Normalisasi!$N$21-Konvergensi!$F$521;2);PANGKAT(Normalisasi!$O$21-Konvergensi!$G$521;2);PANGKAT(Normalisasi!$P$21-Konvergensi!$H$521;2));0))</f>
        <v/>
      </c>
      <c r="H485" t="n">
        <v>2</v>
      </c>
      <c r="I485" t="n">
        <v>6.823969811971088</v>
      </c>
    </row>
    <row r="486">
      <c r="A486">
        <f>Data_Awal!A22</f>
        <v/>
      </c>
      <c r="B486">
        <f>Data_Awal!B22</f>
        <v/>
      </c>
      <c r="C486">
        <f>AKAR(JUMLAH(PANGKAT(Normalisasi!$J$22-Konvergensi!$B$454;2);PANGKAT(Normalisasi!$K$22-Konvergensi!$C$454;2);PANGKAT(Normalisasi!$L$22-Konvergensi!$D$454;2);PANGKAT(Normalisasi!$M$22-Konvergensi!$E$454;2);PANGKAT(Normalisasi!$N$22-Konvergensi!$F$454;2);PANGKAT(Normalisasi!$O$22-Konvergensi!$G$454;2);PANGKAT(Normalisasi!$P$22-Konvergensi!$H$454;2)))</f>
        <v/>
      </c>
      <c r="D486">
        <f>AKAR(JUMLAH(PANGKAT(Normalisasi!$J$22-Konvergensi!$B$455;2);PANGKAT(Normalisasi!$K$22-Konvergensi!$C$455;2);PANGKAT(Normalisasi!$L$22-Konvergensi!$D$455;2);PANGKAT(Normalisasi!$M$22-Konvergensi!$E$455;2);PANGKAT(Normalisasi!$N$22-Konvergensi!$F$455;2);PANGKAT(Normalisasi!$O$22-Konvergensi!$G$455;2);PANGKAT(Normalisasi!$P$22-Konvergensi!$H$455;2)))</f>
        <v/>
      </c>
      <c r="E486">
        <f>AKAR(JUMLAH(PANGKAT(Normalisasi!$J$22-Konvergensi!$B$456;2);PANGKAT(Normalisasi!$K$22-Konvergensi!$C$456;2);PANGKAT(Normalisasi!$L$22-Konvergensi!$D$456;2);PANGKAT(Normalisasi!$M$22-Konvergensi!$E$456;2);PANGKAT(Normalisasi!$N$22-Konvergensi!$F$456;2);PANGKAT(Normalisasi!$O$22-Konvergensi!$G$456;2);PANGKAT(Normalisasi!$P$22-Konvergensi!$H$456;2)))</f>
        <v/>
      </c>
      <c r="F486">
        <f>JIKA(C486&lt;=D486;=JIKA(C486&lt;=E486;0;2);=JIKA(D486&lt;=E486;1;2))</f>
        <v/>
      </c>
      <c r="G486">
        <f>JUMLAH(JIKA(F486=0;JUMLAH(PANGKAT(Normalisasi!$J$22-Konvergensi!$B$519;2);PANGKAT(Normalisasi!$K$22-Konvergensi!$C$519;2);PANGKAT(Normalisasi!$L$22-Konvergensi!$D$519;2);PANGKAT(Normalisasi!$M$22-Konvergensi!$E$519;2);PANGKAT(Normalisasi!$N$22-Konvergensi!$F$519;2);PANGKAT(Normalisasi!$O$22-Konvergensi!$G$519;2);PANGKAT(Normalisasi!$P$22-Konvergensi!$H$519;2));0);JIKA(F486=1;JUMLAH(PANGKAT(Normalisasi!$J$22-Konvergensi!$B$520;2);PANGKAT(Normalisasi!$K$22-Konvergensi!$C$520;2);PANGKAT(Normalisasi!$L$22-Konvergensi!$D$520;2);PANGKAT(Normalisasi!$M$22-Konvergensi!$E$520;2);PANGKAT(Normalisasi!$N$22-Konvergensi!$F$520;2);PANGKAT(Normalisasi!$O$22-Konvergensi!$G$520;2);PANGKAT(Normalisasi!$P$22-Konvergensi!$H$520;2));0);JIKA(F486=2;JUMLAH(PANGKAT(Normalisasi!$J$22-Konvergensi!$B$521;2);PANGKAT(Normalisasi!$K$22-Konvergensi!$C$521;2);PANGKAT(Normalisasi!$L$22-Konvergensi!$D$521;2);PANGKAT(Normalisasi!$M$22-Konvergensi!$E$521;2);PANGKAT(Normalisasi!$N$22-Konvergensi!$F$521;2);PANGKAT(Normalisasi!$O$22-Konvergensi!$G$521;2);PANGKAT(Normalisasi!$P$22-Konvergensi!$H$521;2));0))</f>
        <v/>
      </c>
      <c r="H486" t="n">
        <v>0</v>
      </c>
      <c r="I486" t="n">
        <v>9.140401448154742</v>
      </c>
    </row>
    <row r="487">
      <c r="A487">
        <f>Data_Awal!A23</f>
        <v/>
      </c>
      <c r="B487">
        <f>Data_Awal!B23</f>
        <v/>
      </c>
      <c r="C487">
        <f>AKAR(JUMLAH(PANGKAT(Normalisasi!$J$23-Konvergensi!$B$454;2);PANGKAT(Normalisasi!$K$23-Konvergensi!$C$454;2);PANGKAT(Normalisasi!$L$23-Konvergensi!$D$454;2);PANGKAT(Normalisasi!$M$23-Konvergensi!$E$454;2);PANGKAT(Normalisasi!$N$23-Konvergensi!$F$454;2);PANGKAT(Normalisasi!$O$23-Konvergensi!$G$454;2);PANGKAT(Normalisasi!$P$23-Konvergensi!$H$454;2)))</f>
        <v/>
      </c>
      <c r="D487">
        <f>AKAR(JUMLAH(PANGKAT(Normalisasi!$J$23-Konvergensi!$B$455;2);PANGKAT(Normalisasi!$K$23-Konvergensi!$C$455;2);PANGKAT(Normalisasi!$L$23-Konvergensi!$D$455;2);PANGKAT(Normalisasi!$M$23-Konvergensi!$E$455;2);PANGKAT(Normalisasi!$N$23-Konvergensi!$F$455;2);PANGKAT(Normalisasi!$O$23-Konvergensi!$G$455;2);PANGKAT(Normalisasi!$P$23-Konvergensi!$H$455;2)))</f>
        <v/>
      </c>
      <c r="E487">
        <f>AKAR(JUMLAH(PANGKAT(Normalisasi!$J$23-Konvergensi!$B$456;2);PANGKAT(Normalisasi!$K$23-Konvergensi!$C$456;2);PANGKAT(Normalisasi!$L$23-Konvergensi!$D$456;2);PANGKAT(Normalisasi!$M$23-Konvergensi!$E$456;2);PANGKAT(Normalisasi!$N$23-Konvergensi!$F$456;2);PANGKAT(Normalisasi!$O$23-Konvergensi!$G$456;2);PANGKAT(Normalisasi!$P$23-Konvergensi!$H$456;2)))</f>
        <v/>
      </c>
      <c r="F487">
        <f>JIKA(C487&lt;=D487;=JIKA(C487&lt;=E487;0;2);=JIKA(D487&lt;=E487;1;2))</f>
        <v/>
      </c>
      <c r="G487">
        <f>JUMLAH(JIKA(F487=0;JUMLAH(PANGKAT(Normalisasi!$J$23-Konvergensi!$B$519;2);PANGKAT(Normalisasi!$K$23-Konvergensi!$C$519;2);PANGKAT(Normalisasi!$L$23-Konvergensi!$D$519;2);PANGKAT(Normalisasi!$M$23-Konvergensi!$E$519;2);PANGKAT(Normalisasi!$N$23-Konvergensi!$F$519;2);PANGKAT(Normalisasi!$O$23-Konvergensi!$G$519;2);PANGKAT(Normalisasi!$P$23-Konvergensi!$H$519;2));0);JIKA(F487=1;JUMLAH(PANGKAT(Normalisasi!$J$23-Konvergensi!$B$520;2);PANGKAT(Normalisasi!$K$23-Konvergensi!$C$520;2);PANGKAT(Normalisasi!$L$23-Konvergensi!$D$520;2);PANGKAT(Normalisasi!$M$23-Konvergensi!$E$520;2);PANGKAT(Normalisasi!$N$23-Konvergensi!$F$520;2);PANGKAT(Normalisasi!$O$23-Konvergensi!$G$520;2);PANGKAT(Normalisasi!$P$23-Konvergensi!$H$520;2));0);JIKA(F487=2;JUMLAH(PANGKAT(Normalisasi!$J$23-Konvergensi!$B$521;2);PANGKAT(Normalisasi!$K$23-Konvergensi!$C$521;2);PANGKAT(Normalisasi!$L$23-Konvergensi!$D$521;2);PANGKAT(Normalisasi!$M$23-Konvergensi!$E$521;2);PANGKAT(Normalisasi!$N$23-Konvergensi!$F$521;2);PANGKAT(Normalisasi!$O$23-Konvergensi!$G$521;2);PANGKAT(Normalisasi!$P$23-Konvergensi!$H$521;2));0))</f>
        <v/>
      </c>
      <c r="H487" t="n">
        <v>1</v>
      </c>
      <c r="I487" t="n">
        <v>6.57222347755811</v>
      </c>
    </row>
    <row r="488">
      <c r="A488">
        <f>Data_Awal!A24</f>
        <v/>
      </c>
      <c r="B488">
        <f>Data_Awal!B24</f>
        <v/>
      </c>
      <c r="C488">
        <f>AKAR(JUMLAH(PANGKAT(Normalisasi!$J$24-Konvergensi!$B$454;2);PANGKAT(Normalisasi!$K$24-Konvergensi!$C$454;2);PANGKAT(Normalisasi!$L$24-Konvergensi!$D$454;2);PANGKAT(Normalisasi!$M$24-Konvergensi!$E$454;2);PANGKAT(Normalisasi!$N$24-Konvergensi!$F$454;2);PANGKAT(Normalisasi!$O$24-Konvergensi!$G$454;2);PANGKAT(Normalisasi!$P$24-Konvergensi!$H$454;2)))</f>
        <v/>
      </c>
      <c r="D488">
        <f>AKAR(JUMLAH(PANGKAT(Normalisasi!$J$24-Konvergensi!$B$455;2);PANGKAT(Normalisasi!$K$24-Konvergensi!$C$455;2);PANGKAT(Normalisasi!$L$24-Konvergensi!$D$455;2);PANGKAT(Normalisasi!$M$24-Konvergensi!$E$455;2);PANGKAT(Normalisasi!$N$24-Konvergensi!$F$455;2);PANGKAT(Normalisasi!$O$24-Konvergensi!$G$455;2);PANGKAT(Normalisasi!$P$24-Konvergensi!$H$455;2)))</f>
        <v/>
      </c>
      <c r="E488">
        <f>AKAR(JUMLAH(PANGKAT(Normalisasi!$J$24-Konvergensi!$B$456;2);PANGKAT(Normalisasi!$K$24-Konvergensi!$C$456;2);PANGKAT(Normalisasi!$L$24-Konvergensi!$D$456;2);PANGKAT(Normalisasi!$M$24-Konvergensi!$E$456;2);PANGKAT(Normalisasi!$N$24-Konvergensi!$F$456;2);PANGKAT(Normalisasi!$O$24-Konvergensi!$G$456;2);PANGKAT(Normalisasi!$P$24-Konvergensi!$H$456;2)))</f>
        <v/>
      </c>
      <c r="F488">
        <f>JIKA(C488&lt;=D488;=JIKA(C488&lt;=E488;0;2);=JIKA(D488&lt;=E488;1;2))</f>
        <v/>
      </c>
      <c r="G488">
        <f>JUMLAH(JIKA(F488=0;JUMLAH(PANGKAT(Normalisasi!$J$24-Konvergensi!$B$519;2);PANGKAT(Normalisasi!$K$24-Konvergensi!$C$519;2);PANGKAT(Normalisasi!$L$24-Konvergensi!$D$519;2);PANGKAT(Normalisasi!$M$24-Konvergensi!$E$519;2);PANGKAT(Normalisasi!$N$24-Konvergensi!$F$519;2);PANGKAT(Normalisasi!$O$24-Konvergensi!$G$519;2);PANGKAT(Normalisasi!$P$24-Konvergensi!$H$519;2));0);JIKA(F488=1;JUMLAH(PANGKAT(Normalisasi!$J$24-Konvergensi!$B$520;2);PANGKAT(Normalisasi!$K$24-Konvergensi!$C$520;2);PANGKAT(Normalisasi!$L$24-Konvergensi!$D$520;2);PANGKAT(Normalisasi!$M$24-Konvergensi!$E$520;2);PANGKAT(Normalisasi!$N$24-Konvergensi!$F$520;2);PANGKAT(Normalisasi!$O$24-Konvergensi!$G$520;2);PANGKAT(Normalisasi!$P$24-Konvergensi!$H$520;2));0);JIKA(F488=2;JUMLAH(PANGKAT(Normalisasi!$J$24-Konvergensi!$B$521;2);PANGKAT(Normalisasi!$K$24-Konvergensi!$C$521;2);PANGKAT(Normalisasi!$L$24-Konvergensi!$D$521;2);PANGKAT(Normalisasi!$M$24-Konvergensi!$E$521;2);PANGKAT(Normalisasi!$N$24-Konvergensi!$F$521;2);PANGKAT(Normalisasi!$O$24-Konvergensi!$G$521;2);PANGKAT(Normalisasi!$P$24-Konvergensi!$H$521;2));0))</f>
        <v/>
      </c>
      <c r="H488" t="n">
        <v>2</v>
      </c>
      <c r="I488" t="n">
        <v>3.139117275920141</v>
      </c>
    </row>
    <row r="489">
      <c r="A489">
        <f>Data_Awal!A25</f>
        <v/>
      </c>
      <c r="B489">
        <f>Data_Awal!B25</f>
        <v/>
      </c>
      <c r="C489">
        <f>AKAR(JUMLAH(PANGKAT(Normalisasi!$J$25-Konvergensi!$B$454;2);PANGKAT(Normalisasi!$K$25-Konvergensi!$C$454;2);PANGKAT(Normalisasi!$L$25-Konvergensi!$D$454;2);PANGKAT(Normalisasi!$M$25-Konvergensi!$E$454;2);PANGKAT(Normalisasi!$N$25-Konvergensi!$F$454;2);PANGKAT(Normalisasi!$O$25-Konvergensi!$G$454;2);PANGKAT(Normalisasi!$P$25-Konvergensi!$H$454;2)))</f>
        <v/>
      </c>
      <c r="D489">
        <f>AKAR(JUMLAH(PANGKAT(Normalisasi!$J$25-Konvergensi!$B$455;2);PANGKAT(Normalisasi!$K$25-Konvergensi!$C$455;2);PANGKAT(Normalisasi!$L$25-Konvergensi!$D$455;2);PANGKAT(Normalisasi!$M$25-Konvergensi!$E$455;2);PANGKAT(Normalisasi!$N$25-Konvergensi!$F$455;2);PANGKAT(Normalisasi!$O$25-Konvergensi!$G$455;2);PANGKAT(Normalisasi!$P$25-Konvergensi!$H$455;2)))</f>
        <v/>
      </c>
      <c r="E489">
        <f>AKAR(JUMLAH(PANGKAT(Normalisasi!$J$25-Konvergensi!$B$456;2);PANGKAT(Normalisasi!$K$25-Konvergensi!$C$456;2);PANGKAT(Normalisasi!$L$25-Konvergensi!$D$456;2);PANGKAT(Normalisasi!$M$25-Konvergensi!$E$456;2);PANGKAT(Normalisasi!$N$25-Konvergensi!$F$456;2);PANGKAT(Normalisasi!$O$25-Konvergensi!$G$456;2);PANGKAT(Normalisasi!$P$25-Konvergensi!$H$456;2)))</f>
        <v/>
      </c>
      <c r="F489">
        <f>JIKA(C489&lt;=D489;=JIKA(C489&lt;=E489;0;2);=JIKA(D489&lt;=E489;1;2))</f>
        <v/>
      </c>
      <c r="G489">
        <f>JUMLAH(JIKA(F489=0;JUMLAH(PANGKAT(Normalisasi!$J$25-Konvergensi!$B$519;2);PANGKAT(Normalisasi!$K$25-Konvergensi!$C$519;2);PANGKAT(Normalisasi!$L$25-Konvergensi!$D$519;2);PANGKAT(Normalisasi!$M$25-Konvergensi!$E$519;2);PANGKAT(Normalisasi!$N$25-Konvergensi!$F$519;2);PANGKAT(Normalisasi!$O$25-Konvergensi!$G$519;2);PANGKAT(Normalisasi!$P$25-Konvergensi!$H$519;2));0);JIKA(F489=1;JUMLAH(PANGKAT(Normalisasi!$J$25-Konvergensi!$B$520;2);PANGKAT(Normalisasi!$K$25-Konvergensi!$C$520;2);PANGKAT(Normalisasi!$L$25-Konvergensi!$D$520;2);PANGKAT(Normalisasi!$M$25-Konvergensi!$E$520;2);PANGKAT(Normalisasi!$N$25-Konvergensi!$F$520;2);PANGKAT(Normalisasi!$O$25-Konvergensi!$G$520;2);PANGKAT(Normalisasi!$P$25-Konvergensi!$H$520;2));0);JIKA(F489=2;JUMLAH(PANGKAT(Normalisasi!$J$25-Konvergensi!$B$521;2);PANGKAT(Normalisasi!$K$25-Konvergensi!$C$521;2);PANGKAT(Normalisasi!$L$25-Konvergensi!$D$521;2);PANGKAT(Normalisasi!$M$25-Konvergensi!$E$521;2);PANGKAT(Normalisasi!$N$25-Konvergensi!$F$521;2);PANGKAT(Normalisasi!$O$25-Konvergensi!$G$521;2);PANGKAT(Normalisasi!$P$25-Konvergensi!$H$521;2));0))</f>
        <v/>
      </c>
      <c r="H489" t="n">
        <v>1</v>
      </c>
      <c r="I489" t="n">
        <v>3.968300998423876</v>
      </c>
    </row>
    <row r="490">
      <c r="A490">
        <f>Data_Awal!A26</f>
        <v/>
      </c>
      <c r="B490">
        <f>Data_Awal!B26</f>
        <v/>
      </c>
      <c r="C490">
        <f>AKAR(JUMLAH(PANGKAT(Normalisasi!$J$26-Konvergensi!$B$454;2);PANGKAT(Normalisasi!$K$26-Konvergensi!$C$454;2);PANGKAT(Normalisasi!$L$26-Konvergensi!$D$454;2);PANGKAT(Normalisasi!$M$26-Konvergensi!$E$454;2);PANGKAT(Normalisasi!$N$26-Konvergensi!$F$454;2);PANGKAT(Normalisasi!$O$26-Konvergensi!$G$454;2);PANGKAT(Normalisasi!$P$26-Konvergensi!$H$454;2)))</f>
        <v/>
      </c>
      <c r="D490">
        <f>AKAR(JUMLAH(PANGKAT(Normalisasi!$J$26-Konvergensi!$B$455;2);PANGKAT(Normalisasi!$K$26-Konvergensi!$C$455;2);PANGKAT(Normalisasi!$L$26-Konvergensi!$D$455;2);PANGKAT(Normalisasi!$M$26-Konvergensi!$E$455;2);PANGKAT(Normalisasi!$N$26-Konvergensi!$F$455;2);PANGKAT(Normalisasi!$O$26-Konvergensi!$G$455;2);PANGKAT(Normalisasi!$P$26-Konvergensi!$H$455;2)))</f>
        <v/>
      </c>
      <c r="E490">
        <f>AKAR(JUMLAH(PANGKAT(Normalisasi!$J$26-Konvergensi!$B$456;2);PANGKAT(Normalisasi!$K$26-Konvergensi!$C$456;2);PANGKAT(Normalisasi!$L$26-Konvergensi!$D$456;2);PANGKAT(Normalisasi!$M$26-Konvergensi!$E$456;2);PANGKAT(Normalisasi!$N$26-Konvergensi!$F$456;2);PANGKAT(Normalisasi!$O$26-Konvergensi!$G$456;2);PANGKAT(Normalisasi!$P$26-Konvergensi!$H$456;2)))</f>
        <v/>
      </c>
      <c r="F490">
        <f>JIKA(C490&lt;=D490;=JIKA(C490&lt;=E490;0;2);=JIKA(D490&lt;=E490;1;2))</f>
        <v/>
      </c>
      <c r="G490">
        <f>JUMLAH(JIKA(F490=0;JUMLAH(PANGKAT(Normalisasi!$J$26-Konvergensi!$B$519;2);PANGKAT(Normalisasi!$K$26-Konvergensi!$C$519;2);PANGKAT(Normalisasi!$L$26-Konvergensi!$D$519;2);PANGKAT(Normalisasi!$M$26-Konvergensi!$E$519;2);PANGKAT(Normalisasi!$N$26-Konvergensi!$F$519;2);PANGKAT(Normalisasi!$O$26-Konvergensi!$G$519;2);PANGKAT(Normalisasi!$P$26-Konvergensi!$H$519;2));0);JIKA(F490=1;JUMLAH(PANGKAT(Normalisasi!$J$26-Konvergensi!$B$520;2);PANGKAT(Normalisasi!$K$26-Konvergensi!$C$520;2);PANGKAT(Normalisasi!$L$26-Konvergensi!$D$520;2);PANGKAT(Normalisasi!$M$26-Konvergensi!$E$520;2);PANGKAT(Normalisasi!$N$26-Konvergensi!$F$520;2);PANGKAT(Normalisasi!$O$26-Konvergensi!$G$520;2);PANGKAT(Normalisasi!$P$26-Konvergensi!$H$520;2));0);JIKA(F490=2;JUMLAH(PANGKAT(Normalisasi!$J$26-Konvergensi!$B$521;2);PANGKAT(Normalisasi!$K$26-Konvergensi!$C$521;2);PANGKAT(Normalisasi!$L$26-Konvergensi!$D$521;2);PANGKAT(Normalisasi!$M$26-Konvergensi!$E$521;2);PANGKAT(Normalisasi!$N$26-Konvergensi!$F$521;2);PANGKAT(Normalisasi!$O$26-Konvergensi!$G$521;2);PANGKAT(Normalisasi!$P$26-Konvergensi!$H$521;2));0))</f>
        <v/>
      </c>
      <c r="H490" t="n">
        <v>2</v>
      </c>
      <c r="I490" t="n">
        <v>5.789606091337222</v>
      </c>
    </row>
    <row r="491">
      <c r="A491">
        <f>Data_Awal!A27</f>
        <v/>
      </c>
      <c r="B491">
        <f>Data_Awal!B27</f>
        <v/>
      </c>
      <c r="C491">
        <f>AKAR(JUMLAH(PANGKAT(Normalisasi!$J$27-Konvergensi!$B$454;2);PANGKAT(Normalisasi!$K$27-Konvergensi!$C$454;2);PANGKAT(Normalisasi!$L$27-Konvergensi!$D$454;2);PANGKAT(Normalisasi!$M$27-Konvergensi!$E$454;2);PANGKAT(Normalisasi!$N$27-Konvergensi!$F$454;2);PANGKAT(Normalisasi!$O$27-Konvergensi!$G$454;2);PANGKAT(Normalisasi!$P$27-Konvergensi!$H$454;2)))</f>
        <v/>
      </c>
      <c r="D491">
        <f>AKAR(JUMLAH(PANGKAT(Normalisasi!$J$27-Konvergensi!$B$455;2);PANGKAT(Normalisasi!$K$27-Konvergensi!$C$455;2);PANGKAT(Normalisasi!$L$27-Konvergensi!$D$455;2);PANGKAT(Normalisasi!$M$27-Konvergensi!$E$455;2);PANGKAT(Normalisasi!$N$27-Konvergensi!$F$455;2);PANGKAT(Normalisasi!$O$27-Konvergensi!$G$455;2);PANGKAT(Normalisasi!$P$27-Konvergensi!$H$455;2)))</f>
        <v/>
      </c>
      <c r="E491">
        <f>AKAR(JUMLAH(PANGKAT(Normalisasi!$J$27-Konvergensi!$B$456;2);PANGKAT(Normalisasi!$K$27-Konvergensi!$C$456;2);PANGKAT(Normalisasi!$L$27-Konvergensi!$D$456;2);PANGKAT(Normalisasi!$M$27-Konvergensi!$E$456;2);PANGKAT(Normalisasi!$N$27-Konvergensi!$F$456;2);PANGKAT(Normalisasi!$O$27-Konvergensi!$G$456;2);PANGKAT(Normalisasi!$P$27-Konvergensi!$H$456;2)))</f>
        <v/>
      </c>
      <c r="F491">
        <f>JIKA(C491&lt;=D491;=JIKA(C491&lt;=E491;0;2);=JIKA(D491&lt;=E491;1;2))</f>
        <v/>
      </c>
      <c r="G491">
        <f>JUMLAH(JIKA(F491=0;JUMLAH(PANGKAT(Normalisasi!$J$27-Konvergensi!$B$519;2);PANGKAT(Normalisasi!$K$27-Konvergensi!$C$519;2);PANGKAT(Normalisasi!$L$27-Konvergensi!$D$519;2);PANGKAT(Normalisasi!$M$27-Konvergensi!$E$519;2);PANGKAT(Normalisasi!$N$27-Konvergensi!$F$519;2);PANGKAT(Normalisasi!$O$27-Konvergensi!$G$519;2);PANGKAT(Normalisasi!$P$27-Konvergensi!$H$519;2));0);JIKA(F491=1;JUMLAH(PANGKAT(Normalisasi!$J$27-Konvergensi!$B$520;2);PANGKAT(Normalisasi!$K$27-Konvergensi!$C$520;2);PANGKAT(Normalisasi!$L$27-Konvergensi!$D$520;2);PANGKAT(Normalisasi!$M$27-Konvergensi!$E$520;2);PANGKAT(Normalisasi!$N$27-Konvergensi!$F$520;2);PANGKAT(Normalisasi!$O$27-Konvergensi!$G$520;2);PANGKAT(Normalisasi!$P$27-Konvergensi!$H$520;2));0);JIKA(F491=2;JUMLAH(PANGKAT(Normalisasi!$J$27-Konvergensi!$B$521;2);PANGKAT(Normalisasi!$K$27-Konvergensi!$C$521;2);PANGKAT(Normalisasi!$L$27-Konvergensi!$D$521;2);PANGKAT(Normalisasi!$M$27-Konvergensi!$E$521;2);PANGKAT(Normalisasi!$N$27-Konvergensi!$F$521;2);PANGKAT(Normalisasi!$O$27-Konvergensi!$G$521;2);PANGKAT(Normalisasi!$P$27-Konvergensi!$H$521;2));0))</f>
        <v/>
      </c>
      <c r="H491" t="n">
        <v>0</v>
      </c>
      <c r="I491" t="n">
        <v>1.79944973202559</v>
      </c>
    </row>
    <row r="492">
      <c r="A492">
        <f>Data_Awal!A28</f>
        <v/>
      </c>
      <c r="B492">
        <f>Data_Awal!B28</f>
        <v/>
      </c>
      <c r="C492">
        <f>AKAR(JUMLAH(PANGKAT(Normalisasi!$J$28-Konvergensi!$B$454;2);PANGKAT(Normalisasi!$K$28-Konvergensi!$C$454;2);PANGKAT(Normalisasi!$L$28-Konvergensi!$D$454;2);PANGKAT(Normalisasi!$M$28-Konvergensi!$E$454;2);PANGKAT(Normalisasi!$N$28-Konvergensi!$F$454;2);PANGKAT(Normalisasi!$O$28-Konvergensi!$G$454;2);PANGKAT(Normalisasi!$P$28-Konvergensi!$H$454;2)))</f>
        <v/>
      </c>
      <c r="D492">
        <f>AKAR(JUMLAH(PANGKAT(Normalisasi!$J$28-Konvergensi!$B$455;2);PANGKAT(Normalisasi!$K$28-Konvergensi!$C$455;2);PANGKAT(Normalisasi!$L$28-Konvergensi!$D$455;2);PANGKAT(Normalisasi!$M$28-Konvergensi!$E$455;2);PANGKAT(Normalisasi!$N$28-Konvergensi!$F$455;2);PANGKAT(Normalisasi!$O$28-Konvergensi!$G$455;2);PANGKAT(Normalisasi!$P$28-Konvergensi!$H$455;2)))</f>
        <v/>
      </c>
      <c r="E492">
        <f>AKAR(JUMLAH(PANGKAT(Normalisasi!$J$28-Konvergensi!$B$456;2);PANGKAT(Normalisasi!$K$28-Konvergensi!$C$456;2);PANGKAT(Normalisasi!$L$28-Konvergensi!$D$456;2);PANGKAT(Normalisasi!$M$28-Konvergensi!$E$456;2);PANGKAT(Normalisasi!$N$28-Konvergensi!$F$456;2);PANGKAT(Normalisasi!$O$28-Konvergensi!$G$456;2);PANGKAT(Normalisasi!$P$28-Konvergensi!$H$456;2)))</f>
        <v/>
      </c>
      <c r="F492">
        <f>JIKA(C492&lt;=D492;=JIKA(C492&lt;=E492;0;2);=JIKA(D492&lt;=E492;1;2))</f>
        <v/>
      </c>
      <c r="G492">
        <f>JUMLAH(JIKA(F492=0;JUMLAH(PANGKAT(Normalisasi!$J$28-Konvergensi!$B$519;2);PANGKAT(Normalisasi!$K$28-Konvergensi!$C$519;2);PANGKAT(Normalisasi!$L$28-Konvergensi!$D$519;2);PANGKAT(Normalisasi!$M$28-Konvergensi!$E$519;2);PANGKAT(Normalisasi!$N$28-Konvergensi!$F$519;2);PANGKAT(Normalisasi!$O$28-Konvergensi!$G$519;2);PANGKAT(Normalisasi!$P$28-Konvergensi!$H$519;2));0);JIKA(F492=1;JUMLAH(PANGKAT(Normalisasi!$J$28-Konvergensi!$B$520;2);PANGKAT(Normalisasi!$K$28-Konvergensi!$C$520;2);PANGKAT(Normalisasi!$L$28-Konvergensi!$D$520;2);PANGKAT(Normalisasi!$M$28-Konvergensi!$E$520;2);PANGKAT(Normalisasi!$N$28-Konvergensi!$F$520;2);PANGKAT(Normalisasi!$O$28-Konvergensi!$G$520;2);PANGKAT(Normalisasi!$P$28-Konvergensi!$H$520;2));0);JIKA(F492=2;JUMLAH(PANGKAT(Normalisasi!$J$28-Konvergensi!$B$521;2);PANGKAT(Normalisasi!$K$28-Konvergensi!$C$521;2);PANGKAT(Normalisasi!$L$28-Konvergensi!$D$521;2);PANGKAT(Normalisasi!$M$28-Konvergensi!$E$521;2);PANGKAT(Normalisasi!$N$28-Konvergensi!$F$521;2);PANGKAT(Normalisasi!$O$28-Konvergensi!$G$521;2);PANGKAT(Normalisasi!$P$28-Konvergensi!$H$521;2));0))</f>
        <v/>
      </c>
      <c r="H492" t="n">
        <v>1</v>
      </c>
      <c r="I492" t="n">
        <v>10.51074437071328</v>
      </c>
    </row>
    <row r="493">
      <c r="A493">
        <f>Data_Awal!A29</f>
        <v/>
      </c>
      <c r="B493">
        <f>Data_Awal!B29</f>
        <v/>
      </c>
      <c r="C493">
        <f>AKAR(JUMLAH(PANGKAT(Normalisasi!$J$29-Konvergensi!$B$454;2);PANGKAT(Normalisasi!$K$29-Konvergensi!$C$454;2);PANGKAT(Normalisasi!$L$29-Konvergensi!$D$454;2);PANGKAT(Normalisasi!$M$29-Konvergensi!$E$454;2);PANGKAT(Normalisasi!$N$29-Konvergensi!$F$454;2);PANGKAT(Normalisasi!$O$29-Konvergensi!$G$454;2);PANGKAT(Normalisasi!$P$29-Konvergensi!$H$454;2)))</f>
        <v/>
      </c>
      <c r="D493">
        <f>AKAR(JUMLAH(PANGKAT(Normalisasi!$J$29-Konvergensi!$B$455;2);PANGKAT(Normalisasi!$K$29-Konvergensi!$C$455;2);PANGKAT(Normalisasi!$L$29-Konvergensi!$D$455;2);PANGKAT(Normalisasi!$M$29-Konvergensi!$E$455;2);PANGKAT(Normalisasi!$N$29-Konvergensi!$F$455;2);PANGKAT(Normalisasi!$O$29-Konvergensi!$G$455;2);PANGKAT(Normalisasi!$P$29-Konvergensi!$H$455;2)))</f>
        <v/>
      </c>
      <c r="E493">
        <f>AKAR(JUMLAH(PANGKAT(Normalisasi!$J$29-Konvergensi!$B$456;2);PANGKAT(Normalisasi!$K$29-Konvergensi!$C$456;2);PANGKAT(Normalisasi!$L$29-Konvergensi!$D$456;2);PANGKAT(Normalisasi!$M$29-Konvergensi!$E$456;2);PANGKAT(Normalisasi!$N$29-Konvergensi!$F$456;2);PANGKAT(Normalisasi!$O$29-Konvergensi!$G$456;2);PANGKAT(Normalisasi!$P$29-Konvergensi!$H$456;2)))</f>
        <v/>
      </c>
      <c r="F493">
        <f>JIKA(C493&lt;=D493;=JIKA(C493&lt;=E493;0;2);=JIKA(D493&lt;=E493;1;2))</f>
        <v/>
      </c>
      <c r="G493">
        <f>JUMLAH(JIKA(F493=0;JUMLAH(PANGKAT(Normalisasi!$J$29-Konvergensi!$B$519;2);PANGKAT(Normalisasi!$K$29-Konvergensi!$C$519;2);PANGKAT(Normalisasi!$L$29-Konvergensi!$D$519;2);PANGKAT(Normalisasi!$M$29-Konvergensi!$E$519;2);PANGKAT(Normalisasi!$N$29-Konvergensi!$F$519;2);PANGKAT(Normalisasi!$O$29-Konvergensi!$G$519;2);PANGKAT(Normalisasi!$P$29-Konvergensi!$H$519;2));0);JIKA(F493=1;JUMLAH(PANGKAT(Normalisasi!$J$29-Konvergensi!$B$520;2);PANGKAT(Normalisasi!$K$29-Konvergensi!$C$520;2);PANGKAT(Normalisasi!$L$29-Konvergensi!$D$520;2);PANGKAT(Normalisasi!$M$29-Konvergensi!$E$520;2);PANGKAT(Normalisasi!$N$29-Konvergensi!$F$520;2);PANGKAT(Normalisasi!$O$29-Konvergensi!$G$520;2);PANGKAT(Normalisasi!$P$29-Konvergensi!$H$520;2));0);JIKA(F493=2;JUMLAH(PANGKAT(Normalisasi!$J$29-Konvergensi!$B$521;2);PANGKAT(Normalisasi!$K$29-Konvergensi!$C$521;2);PANGKAT(Normalisasi!$L$29-Konvergensi!$D$521;2);PANGKAT(Normalisasi!$M$29-Konvergensi!$E$521;2);PANGKAT(Normalisasi!$N$29-Konvergensi!$F$521;2);PANGKAT(Normalisasi!$O$29-Konvergensi!$G$521;2);PANGKAT(Normalisasi!$P$29-Konvergensi!$H$521;2));0))</f>
        <v/>
      </c>
      <c r="H493" t="n">
        <v>2</v>
      </c>
      <c r="I493" t="n">
        <v>3.80561226523267</v>
      </c>
    </row>
    <row r="494">
      <c r="A494">
        <f>Data_Awal!A30</f>
        <v/>
      </c>
      <c r="B494">
        <f>Data_Awal!B30</f>
        <v/>
      </c>
      <c r="C494">
        <f>AKAR(JUMLAH(PANGKAT(Normalisasi!$J$30-Konvergensi!$B$454;2);PANGKAT(Normalisasi!$K$30-Konvergensi!$C$454;2);PANGKAT(Normalisasi!$L$30-Konvergensi!$D$454;2);PANGKAT(Normalisasi!$M$30-Konvergensi!$E$454;2);PANGKAT(Normalisasi!$N$30-Konvergensi!$F$454;2);PANGKAT(Normalisasi!$O$30-Konvergensi!$G$454;2);PANGKAT(Normalisasi!$P$30-Konvergensi!$H$454;2)))</f>
        <v/>
      </c>
      <c r="D494">
        <f>AKAR(JUMLAH(PANGKAT(Normalisasi!$J$30-Konvergensi!$B$455;2);PANGKAT(Normalisasi!$K$30-Konvergensi!$C$455;2);PANGKAT(Normalisasi!$L$30-Konvergensi!$D$455;2);PANGKAT(Normalisasi!$M$30-Konvergensi!$E$455;2);PANGKAT(Normalisasi!$N$30-Konvergensi!$F$455;2);PANGKAT(Normalisasi!$O$30-Konvergensi!$G$455;2);PANGKAT(Normalisasi!$P$30-Konvergensi!$H$455;2)))</f>
        <v/>
      </c>
      <c r="E494">
        <f>AKAR(JUMLAH(PANGKAT(Normalisasi!$J$30-Konvergensi!$B$456;2);PANGKAT(Normalisasi!$K$30-Konvergensi!$C$456;2);PANGKAT(Normalisasi!$L$30-Konvergensi!$D$456;2);PANGKAT(Normalisasi!$M$30-Konvergensi!$E$456;2);PANGKAT(Normalisasi!$N$30-Konvergensi!$F$456;2);PANGKAT(Normalisasi!$O$30-Konvergensi!$G$456;2);PANGKAT(Normalisasi!$P$30-Konvergensi!$H$456;2)))</f>
        <v/>
      </c>
      <c r="F494">
        <f>JIKA(C494&lt;=D494;=JIKA(C494&lt;=E494;0;2);=JIKA(D494&lt;=E494;1;2))</f>
        <v/>
      </c>
      <c r="G494">
        <f>JUMLAH(JIKA(F494=0;JUMLAH(PANGKAT(Normalisasi!$J$30-Konvergensi!$B$519;2);PANGKAT(Normalisasi!$K$30-Konvergensi!$C$519;2);PANGKAT(Normalisasi!$L$30-Konvergensi!$D$519;2);PANGKAT(Normalisasi!$M$30-Konvergensi!$E$519;2);PANGKAT(Normalisasi!$N$30-Konvergensi!$F$519;2);PANGKAT(Normalisasi!$O$30-Konvergensi!$G$519;2);PANGKAT(Normalisasi!$P$30-Konvergensi!$H$519;2));0);JIKA(F494=1;JUMLAH(PANGKAT(Normalisasi!$J$30-Konvergensi!$B$520;2);PANGKAT(Normalisasi!$K$30-Konvergensi!$C$520;2);PANGKAT(Normalisasi!$L$30-Konvergensi!$D$520;2);PANGKAT(Normalisasi!$M$30-Konvergensi!$E$520;2);PANGKAT(Normalisasi!$N$30-Konvergensi!$F$520;2);PANGKAT(Normalisasi!$O$30-Konvergensi!$G$520;2);PANGKAT(Normalisasi!$P$30-Konvergensi!$H$520;2));0);JIKA(F494=2;JUMLAH(PANGKAT(Normalisasi!$J$30-Konvergensi!$B$521;2);PANGKAT(Normalisasi!$K$30-Konvergensi!$C$521;2);PANGKAT(Normalisasi!$L$30-Konvergensi!$D$521;2);PANGKAT(Normalisasi!$M$30-Konvergensi!$E$521;2);PANGKAT(Normalisasi!$N$30-Konvergensi!$F$521;2);PANGKAT(Normalisasi!$O$30-Konvergensi!$G$521;2);PANGKAT(Normalisasi!$P$30-Konvergensi!$H$521;2));0))</f>
        <v/>
      </c>
      <c r="H494" t="n">
        <v>0</v>
      </c>
      <c r="I494" t="n">
        <v>7.088684026664344</v>
      </c>
    </row>
    <row r="495">
      <c r="A495">
        <f>Data_Awal!A31</f>
        <v/>
      </c>
      <c r="B495">
        <f>Data_Awal!B31</f>
        <v/>
      </c>
      <c r="C495">
        <f>AKAR(JUMLAH(PANGKAT(Normalisasi!$J$31-Konvergensi!$B$454;2);PANGKAT(Normalisasi!$K$31-Konvergensi!$C$454;2);PANGKAT(Normalisasi!$L$31-Konvergensi!$D$454;2);PANGKAT(Normalisasi!$M$31-Konvergensi!$E$454;2);PANGKAT(Normalisasi!$N$31-Konvergensi!$F$454;2);PANGKAT(Normalisasi!$O$31-Konvergensi!$G$454;2);PANGKAT(Normalisasi!$P$31-Konvergensi!$H$454;2)))</f>
        <v/>
      </c>
      <c r="D495">
        <f>AKAR(JUMLAH(PANGKAT(Normalisasi!$J$31-Konvergensi!$B$455;2);PANGKAT(Normalisasi!$K$31-Konvergensi!$C$455;2);PANGKAT(Normalisasi!$L$31-Konvergensi!$D$455;2);PANGKAT(Normalisasi!$M$31-Konvergensi!$E$455;2);PANGKAT(Normalisasi!$N$31-Konvergensi!$F$455;2);PANGKAT(Normalisasi!$O$31-Konvergensi!$G$455;2);PANGKAT(Normalisasi!$P$31-Konvergensi!$H$455;2)))</f>
        <v/>
      </c>
      <c r="E495">
        <f>AKAR(JUMLAH(PANGKAT(Normalisasi!$J$31-Konvergensi!$B$456;2);PANGKAT(Normalisasi!$K$31-Konvergensi!$C$456;2);PANGKAT(Normalisasi!$L$31-Konvergensi!$D$456;2);PANGKAT(Normalisasi!$M$31-Konvergensi!$E$456;2);PANGKAT(Normalisasi!$N$31-Konvergensi!$F$456;2);PANGKAT(Normalisasi!$O$31-Konvergensi!$G$456;2);PANGKAT(Normalisasi!$P$31-Konvergensi!$H$456;2)))</f>
        <v/>
      </c>
      <c r="F495">
        <f>JIKA(C495&lt;=D495;=JIKA(C495&lt;=E495;0;2);=JIKA(D495&lt;=E495;1;2))</f>
        <v/>
      </c>
      <c r="G495">
        <f>JUMLAH(JIKA(F495=0;JUMLAH(PANGKAT(Normalisasi!$J$31-Konvergensi!$B$519;2);PANGKAT(Normalisasi!$K$31-Konvergensi!$C$519;2);PANGKAT(Normalisasi!$L$31-Konvergensi!$D$519;2);PANGKAT(Normalisasi!$M$31-Konvergensi!$E$519;2);PANGKAT(Normalisasi!$N$31-Konvergensi!$F$519;2);PANGKAT(Normalisasi!$O$31-Konvergensi!$G$519;2);PANGKAT(Normalisasi!$P$31-Konvergensi!$H$519;2));0);JIKA(F495=1;JUMLAH(PANGKAT(Normalisasi!$J$31-Konvergensi!$B$520;2);PANGKAT(Normalisasi!$K$31-Konvergensi!$C$520;2);PANGKAT(Normalisasi!$L$31-Konvergensi!$D$520;2);PANGKAT(Normalisasi!$M$31-Konvergensi!$E$520;2);PANGKAT(Normalisasi!$N$31-Konvergensi!$F$520;2);PANGKAT(Normalisasi!$O$31-Konvergensi!$G$520;2);PANGKAT(Normalisasi!$P$31-Konvergensi!$H$520;2));0);JIKA(F495=2;JUMLAH(PANGKAT(Normalisasi!$J$31-Konvergensi!$B$521;2);PANGKAT(Normalisasi!$K$31-Konvergensi!$C$521;2);PANGKAT(Normalisasi!$L$31-Konvergensi!$D$521;2);PANGKAT(Normalisasi!$M$31-Konvergensi!$E$521;2);PANGKAT(Normalisasi!$N$31-Konvergensi!$F$521;2);PANGKAT(Normalisasi!$O$31-Konvergensi!$G$521;2);PANGKAT(Normalisasi!$P$31-Konvergensi!$H$521;2));0))</f>
        <v/>
      </c>
      <c r="H495" t="n">
        <v>0</v>
      </c>
      <c r="I495" t="n">
        <v>6.368936012674466</v>
      </c>
    </row>
    <row r="496">
      <c r="A496">
        <f>Data_Awal!A32</f>
        <v/>
      </c>
      <c r="B496">
        <f>Data_Awal!B32</f>
        <v/>
      </c>
      <c r="C496">
        <f>AKAR(JUMLAH(PANGKAT(Normalisasi!$J$32-Konvergensi!$B$454;2);PANGKAT(Normalisasi!$K$32-Konvergensi!$C$454;2);PANGKAT(Normalisasi!$L$32-Konvergensi!$D$454;2);PANGKAT(Normalisasi!$M$32-Konvergensi!$E$454;2);PANGKAT(Normalisasi!$N$32-Konvergensi!$F$454;2);PANGKAT(Normalisasi!$O$32-Konvergensi!$G$454;2);PANGKAT(Normalisasi!$P$32-Konvergensi!$H$454;2)))</f>
        <v/>
      </c>
      <c r="D496">
        <f>AKAR(JUMLAH(PANGKAT(Normalisasi!$J$32-Konvergensi!$B$455;2);PANGKAT(Normalisasi!$K$32-Konvergensi!$C$455;2);PANGKAT(Normalisasi!$L$32-Konvergensi!$D$455;2);PANGKAT(Normalisasi!$M$32-Konvergensi!$E$455;2);PANGKAT(Normalisasi!$N$32-Konvergensi!$F$455;2);PANGKAT(Normalisasi!$O$32-Konvergensi!$G$455;2);PANGKAT(Normalisasi!$P$32-Konvergensi!$H$455;2)))</f>
        <v/>
      </c>
      <c r="E496">
        <f>AKAR(JUMLAH(PANGKAT(Normalisasi!$J$32-Konvergensi!$B$456;2);PANGKAT(Normalisasi!$K$32-Konvergensi!$C$456;2);PANGKAT(Normalisasi!$L$32-Konvergensi!$D$456;2);PANGKAT(Normalisasi!$M$32-Konvergensi!$E$456;2);PANGKAT(Normalisasi!$N$32-Konvergensi!$F$456;2);PANGKAT(Normalisasi!$O$32-Konvergensi!$G$456;2);PANGKAT(Normalisasi!$P$32-Konvergensi!$H$456;2)))</f>
        <v/>
      </c>
      <c r="F496">
        <f>JIKA(C496&lt;=D496;=JIKA(C496&lt;=E496;0;2);=JIKA(D496&lt;=E496;1;2))</f>
        <v/>
      </c>
      <c r="G496">
        <f>JUMLAH(JIKA(F496=0;JUMLAH(PANGKAT(Normalisasi!$J$32-Konvergensi!$B$519;2);PANGKAT(Normalisasi!$K$32-Konvergensi!$C$519;2);PANGKAT(Normalisasi!$L$32-Konvergensi!$D$519;2);PANGKAT(Normalisasi!$M$32-Konvergensi!$E$519;2);PANGKAT(Normalisasi!$N$32-Konvergensi!$F$519;2);PANGKAT(Normalisasi!$O$32-Konvergensi!$G$519;2);PANGKAT(Normalisasi!$P$32-Konvergensi!$H$519;2));0);JIKA(F496=1;JUMLAH(PANGKAT(Normalisasi!$J$32-Konvergensi!$B$520;2);PANGKAT(Normalisasi!$K$32-Konvergensi!$C$520;2);PANGKAT(Normalisasi!$L$32-Konvergensi!$D$520;2);PANGKAT(Normalisasi!$M$32-Konvergensi!$E$520;2);PANGKAT(Normalisasi!$N$32-Konvergensi!$F$520;2);PANGKAT(Normalisasi!$O$32-Konvergensi!$G$520;2);PANGKAT(Normalisasi!$P$32-Konvergensi!$H$520;2));0);JIKA(F496=2;JUMLAH(PANGKAT(Normalisasi!$J$32-Konvergensi!$B$521;2);PANGKAT(Normalisasi!$K$32-Konvergensi!$C$521;2);PANGKAT(Normalisasi!$L$32-Konvergensi!$D$521;2);PANGKAT(Normalisasi!$M$32-Konvergensi!$E$521;2);PANGKAT(Normalisasi!$N$32-Konvergensi!$F$521;2);PANGKAT(Normalisasi!$O$32-Konvergensi!$G$521;2);PANGKAT(Normalisasi!$P$32-Konvergensi!$H$521;2));0))</f>
        <v/>
      </c>
      <c r="H496" t="n">
        <v>0</v>
      </c>
      <c r="I496" t="n">
        <v>4.775309852106881</v>
      </c>
    </row>
    <row r="497">
      <c r="A497">
        <f>Data_Awal!A33</f>
        <v/>
      </c>
      <c r="B497">
        <f>Data_Awal!B33</f>
        <v/>
      </c>
      <c r="C497">
        <f>AKAR(JUMLAH(PANGKAT(Normalisasi!$J$33-Konvergensi!$B$454;2);PANGKAT(Normalisasi!$K$33-Konvergensi!$C$454;2);PANGKAT(Normalisasi!$L$33-Konvergensi!$D$454;2);PANGKAT(Normalisasi!$M$33-Konvergensi!$E$454;2);PANGKAT(Normalisasi!$N$33-Konvergensi!$F$454;2);PANGKAT(Normalisasi!$O$33-Konvergensi!$G$454;2);PANGKAT(Normalisasi!$P$33-Konvergensi!$H$454;2)))</f>
        <v/>
      </c>
      <c r="D497">
        <f>AKAR(JUMLAH(PANGKAT(Normalisasi!$J$33-Konvergensi!$B$455;2);PANGKAT(Normalisasi!$K$33-Konvergensi!$C$455;2);PANGKAT(Normalisasi!$L$33-Konvergensi!$D$455;2);PANGKAT(Normalisasi!$M$33-Konvergensi!$E$455;2);PANGKAT(Normalisasi!$N$33-Konvergensi!$F$455;2);PANGKAT(Normalisasi!$O$33-Konvergensi!$G$455;2);PANGKAT(Normalisasi!$P$33-Konvergensi!$H$455;2)))</f>
        <v/>
      </c>
      <c r="E497">
        <f>AKAR(JUMLAH(PANGKAT(Normalisasi!$J$33-Konvergensi!$B$456;2);PANGKAT(Normalisasi!$K$33-Konvergensi!$C$456;2);PANGKAT(Normalisasi!$L$33-Konvergensi!$D$456;2);PANGKAT(Normalisasi!$M$33-Konvergensi!$E$456;2);PANGKAT(Normalisasi!$N$33-Konvergensi!$F$456;2);PANGKAT(Normalisasi!$O$33-Konvergensi!$G$456;2);PANGKAT(Normalisasi!$P$33-Konvergensi!$H$456;2)))</f>
        <v/>
      </c>
      <c r="F497">
        <f>JIKA(C497&lt;=D497;=JIKA(C497&lt;=E497;0;2);=JIKA(D497&lt;=E497;1;2))</f>
        <v/>
      </c>
      <c r="G497">
        <f>JUMLAH(JIKA(F497=0;JUMLAH(PANGKAT(Normalisasi!$J$33-Konvergensi!$B$519;2);PANGKAT(Normalisasi!$K$33-Konvergensi!$C$519;2);PANGKAT(Normalisasi!$L$33-Konvergensi!$D$519;2);PANGKAT(Normalisasi!$M$33-Konvergensi!$E$519;2);PANGKAT(Normalisasi!$N$33-Konvergensi!$F$519;2);PANGKAT(Normalisasi!$O$33-Konvergensi!$G$519;2);PANGKAT(Normalisasi!$P$33-Konvergensi!$H$519;2));0);JIKA(F497=1;JUMLAH(PANGKAT(Normalisasi!$J$33-Konvergensi!$B$520;2);PANGKAT(Normalisasi!$K$33-Konvergensi!$C$520;2);PANGKAT(Normalisasi!$L$33-Konvergensi!$D$520;2);PANGKAT(Normalisasi!$M$33-Konvergensi!$E$520;2);PANGKAT(Normalisasi!$N$33-Konvergensi!$F$520;2);PANGKAT(Normalisasi!$O$33-Konvergensi!$G$520;2);PANGKAT(Normalisasi!$P$33-Konvergensi!$H$520;2));0);JIKA(F497=2;JUMLAH(PANGKAT(Normalisasi!$J$33-Konvergensi!$B$521;2);PANGKAT(Normalisasi!$K$33-Konvergensi!$C$521;2);PANGKAT(Normalisasi!$L$33-Konvergensi!$D$521;2);PANGKAT(Normalisasi!$M$33-Konvergensi!$E$521;2);PANGKAT(Normalisasi!$N$33-Konvergensi!$F$521;2);PANGKAT(Normalisasi!$O$33-Konvergensi!$G$521;2);PANGKAT(Normalisasi!$P$33-Konvergensi!$H$521;2));0))</f>
        <v/>
      </c>
      <c r="H497" t="n">
        <v>0</v>
      </c>
      <c r="I497" t="n">
        <v>6.884403247279445</v>
      </c>
    </row>
    <row r="498">
      <c r="A498">
        <f>Data_Awal!A34</f>
        <v/>
      </c>
      <c r="B498">
        <f>Data_Awal!B34</f>
        <v/>
      </c>
      <c r="C498">
        <f>AKAR(JUMLAH(PANGKAT(Normalisasi!$J$34-Konvergensi!$B$454;2);PANGKAT(Normalisasi!$K$34-Konvergensi!$C$454;2);PANGKAT(Normalisasi!$L$34-Konvergensi!$D$454;2);PANGKAT(Normalisasi!$M$34-Konvergensi!$E$454;2);PANGKAT(Normalisasi!$N$34-Konvergensi!$F$454;2);PANGKAT(Normalisasi!$O$34-Konvergensi!$G$454;2);PANGKAT(Normalisasi!$P$34-Konvergensi!$H$454;2)))</f>
        <v/>
      </c>
      <c r="D498">
        <f>AKAR(JUMLAH(PANGKAT(Normalisasi!$J$34-Konvergensi!$B$455;2);PANGKAT(Normalisasi!$K$34-Konvergensi!$C$455;2);PANGKAT(Normalisasi!$L$34-Konvergensi!$D$455;2);PANGKAT(Normalisasi!$M$34-Konvergensi!$E$455;2);PANGKAT(Normalisasi!$N$34-Konvergensi!$F$455;2);PANGKAT(Normalisasi!$O$34-Konvergensi!$G$455;2);PANGKAT(Normalisasi!$P$34-Konvergensi!$H$455;2)))</f>
        <v/>
      </c>
      <c r="E498">
        <f>AKAR(JUMLAH(PANGKAT(Normalisasi!$J$34-Konvergensi!$B$456;2);PANGKAT(Normalisasi!$K$34-Konvergensi!$C$456;2);PANGKAT(Normalisasi!$L$34-Konvergensi!$D$456;2);PANGKAT(Normalisasi!$M$34-Konvergensi!$E$456;2);PANGKAT(Normalisasi!$N$34-Konvergensi!$F$456;2);PANGKAT(Normalisasi!$O$34-Konvergensi!$G$456;2);PANGKAT(Normalisasi!$P$34-Konvergensi!$H$456;2)))</f>
        <v/>
      </c>
      <c r="F498">
        <f>JIKA(C498&lt;=D498;=JIKA(C498&lt;=E498;0;2);=JIKA(D498&lt;=E498;1;2))</f>
        <v/>
      </c>
      <c r="G498">
        <f>JUMLAH(JIKA(F498=0;JUMLAH(PANGKAT(Normalisasi!$J$34-Konvergensi!$B$519;2);PANGKAT(Normalisasi!$K$34-Konvergensi!$C$519;2);PANGKAT(Normalisasi!$L$34-Konvergensi!$D$519;2);PANGKAT(Normalisasi!$M$34-Konvergensi!$E$519;2);PANGKAT(Normalisasi!$N$34-Konvergensi!$F$519;2);PANGKAT(Normalisasi!$O$34-Konvergensi!$G$519;2);PANGKAT(Normalisasi!$P$34-Konvergensi!$H$519;2));0);JIKA(F498=1;JUMLAH(PANGKAT(Normalisasi!$J$34-Konvergensi!$B$520;2);PANGKAT(Normalisasi!$K$34-Konvergensi!$C$520;2);PANGKAT(Normalisasi!$L$34-Konvergensi!$D$520;2);PANGKAT(Normalisasi!$M$34-Konvergensi!$E$520;2);PANGKAT(Normalisasi!$N$34-Konvergensi!$F$520;2);PANGKAT(Normalisasi!$O$34-Konvergensi!$G$520;2);PANGKAT(Normalisasi!$P$34-Konvergensi!$H$520;2));0);JIKA(F498=2;JUMLAH(PANGKAT(Normalisasi!$J$34-Konvergensi!$B$521;2);PANGKAT(Normalisasi!$K$34-Konvergensi!$C$521;2);PANGKAT(Normalisasi!$L$34-Konvergensi!$D$521;2);PANGKAT(Normalisasi!$M$34-Konvergensi!$E$521;2);PANGKAT(Normalisasi!$N$34-Konvergensi!$F$521;2);PANGKAT(Normalisasi!$O$34-Konvergensi!$G$521;2);PANGKAT(Normalisasi!$P$34-Konvergensi!$H$521;2));0))</f>
        <v/>
      </c>
      <c r="H498" t="n">
        <v>1</v>
      </c>
      <c r="I498" t="n">
        <v>1.842633076140355</v>
      </c>
    </row>
    <row r="499">
      <c r="A499">
        <f>Data_Awal!A35</f>
        <v/>
      </c>
      <c r="B499">
        <f>Data_Awal!B35</f>
        <v/>
      </c>
      <c r="C499">
        <f>AKAR(JUMLAH(PANGKAT(Normalisasi!$J$35-Konvergensi!$B$454;2);PANGKAT(Normalisasi!$K$35-Konvergensi!$C$454;2);PANGKAT(Normalisasi!$L$35-Konvergensi!$D$454;2);PANGKAT(Normalisasi!$M$35-Konvergensi!$E$454;2);PANGKAT(Normalisasi!$N$35-Konvergensi!$F$454;2);PANGKAT(Normalisasi!$O$35-Konvergensi!$G$454;2);PANGKAT(Normalisasi!$P$35-Konvergensi!$H$454;2)))</f>
        <v/>
      </c>
      <c r="D499">
        <f>AKAR(JUMLAH(PANGKAT(Normalisasi!$J$35-Konvergensi!$B$455;2);PANGKAT(Normalisasi!$K$35-Konvergensi!$C$455;2);PANGKAT(Normalisasi!$L$35-Konvergensi!$D$455;2);PANGKAT(Normalisasi!$M$35-Konvergensi!$E$455;2);PANGKAT(Normalisasi!$N$35-Konvergensi!$F$455;2);PANGKAT(Normalisasi!$O$35-Konvergensi!$G$455;2);PANGKAT(Normalisasi!$P$35-Konvergensi!$H$455;2)))</f>
        <v/>
      </c>
      <c r="E499">
        <f>AKAR(JUMLAH(PANGKAT(Normalisasi!$J$35-Konvergensi!$B$456;2);PANGKAT(Normalisasi!$K$35-Konvergensi!$C$456;2);PANGKAT(Normalisasi!$L$35-Konvergensi!$D$456;2);PANGKAT(Normalisasi!$M$35-Konvergensi!$E$456;2);PANGKAT(Normalisasi!$N$35-Konvergensi!$F$456;2);PANGKAT(Normalisasi!$O$35-Konvergensi!$G$456;2);PANGKAT(Normalisasi!$P$35-Konvergensi!$H$456;2)))</f>
        <v/>
      </c>
      <c r="F499">
        <f>JIKA(C499&lt;=D499;=JIKA(C499&lt;=E499;0;2);=JIKA(D499&lt;=E499;1;2))</f>
        <v/>
      </c>
      <c r="G499">
        <f>JUMLAH(JIKA(F499=0;JUMLAH(PANGKAT(Normalisasi!$J$35-Konvergensi!$B$519;2);PANGKAT(Normalisasi!$K$35-Konvergensi!$C$519;2);PANGKAT(Normalisasi!$L$35-Konvergensi!$D$519;2);PANGKAT(Normalisasi!$M$35-Konvergensi!$E$519;2);PANGKAT(Normalisasi!$N$35-Konvergensi!$F$519;2);PANGKAT(Normalisasi!$O$35-Konvergensi!$G$519;2);PANGKAT(Normalisasi!$P$35-Konvergensi!$H$519;2));0);JIKA(F499=1;JUMLAH(PANGKAT(Normalisasi!$J$35-Konvergensi!$B$520;2);PANGKAT(Normalisasi!$K$35-Konvergensi!$C$520;2);PANGKAT(Normalisasi!$L$35-Konvergensi!$D$520;2);PANGKAT(Normalisasi!$M$35-Konvergensi!$E$520;2);PANGKAT(Normalisasi!$N$35-Konvergensi!$F$520;2);PANGKAT(Normalisasi!$O$35-Konvergensi!$G$520;2);PANGKAT(Normalisasi!$P$35-Konvergensi!$H$520;2));0);JIKA(F499=2;JUMLAH(PANGKAT(Normalisasi!$J$35-Konvergensi!$B$521;2);PANGKAT(Normalisasi!$K$35-Konvergensi!$C$521;2);PANGKAT(Normalisasi!$L$35-Konvergensi!$D$521;2);PANGKAT(Normalisasi!$M$35-Konvergensi!$E$521;2);PANGKAT(Normalisasi!$N$35-Konvergensi!$F$521;2);PANGKAT(Normalisasi!$O$35-Konvergensi!$G$521;2);PANGKAT(Normalisasi!$P$35-Konvergensi!$H$521;2));0))</f>
        <v/>
      </c>
      <c r="H499" t="n">
        <v>0</v>
      </c>
      <c r="I499" t="n">
        <v>4.231005006999609</v>
      </c>
    </row>
    <row r="500">
      <c r="A500">
        <f>Data_Awal!A36</f>
        <v/>
      </c>
      <c r="B500">
        <f>Data_Awal!B36</f>
        <v/>
      </c>
      <c r="C500">
        <f>AKAR(JUMLAH(PANGKAT(Normalisasi!$J$36-Konvergensi!$B$454;2);PANGKAT(Normalisasi!$K$36-Konvergensi!$C$454;2);PANGKAT(Normalisasi!$L$36-Konvergensi!$D$454;2);PANGKAT(Normalisasi!$M$36-Konvergensi!$E$454;2);PANGKAT(Normalisasi!$N$36-Konvergensi!$F$454;2);PANGKAT(Normalisasi!$O$36-Konvergensi!$G$454;2);PANGKAT(Normalisasi!$P$36-Konvergensi!$H$454;2)))</f>
        <v/>
      </c>
      <c r="D500">
        <f>AKAR(JUMLAH(PANGKAT(Normalisasi!$J$36-Konvergensi!$B$455;2);PANGKAT(Normalisasi!$K$36-Konvergensi!$C$455;2);PANGKAT(Normalisasi!$L$36-Konvergensi!$D$455;2);PANGKAT(Normalisasi!$M$36-Konvergensi!$E$455;2);PANGKAT(Normalisasi!$N$36-Konvergensi!$F$455;2);PANGKAT(Normalisasi!$O$36-Konvergensi!$G$455;2);PANGKAT(Normalisasi!$P$36-Konvergensi!$H$455;2)))</f>
        <v/>
      </c>
      <c r="E500">
        <f>AKAR(JUMLAH(PANGKAT(Normalisasi!$J$36-Konvergensi!$B$456;2);PANGKAT(Normalisasi!$K$36-Konvergensi!$C$456;2);PANGKAT(Normalisasi!$L$36-Konvergensi!$D$456;2);PANGKAT(Normalisasi!$M$36-Konvergensi!$E$456;2);PANGKAT(Normalisasi!$N$36-Konvergensi!$F$456;2);PANGKAT(Normalisasi!$O$36-Konvergensi!$G$456;2);PANGKAT(Normalisasi!$P$36-Konvergensi!$H$456;2)))</f>
        <v/>
      </c>
      <c r="F500">
        <f>JIKA(C500&lt;=D500;=JIKA(C500&lt;=E500;0;2);=JIKA(D500&lt;=E500;1;2))</f>
        <v/>
      </c>
      <c r="G500">
        <f>JUMLAH(JIKA(F500=0;JUMLAH(PANGKAT(Normalisasi!$J$36-Konvergensi!$B$519;2);PANGKAT(Normalisasi!$K$36-Konvergensi!$C$519;2);PANGKAT(Normalisasi!$L$36-Konvergensi!$D$519;2);PANGKAT(Normalisasi!$M$36-Konvergensi!$E$519;2);PANGKAT(Normalisasi!$N$36-Konvergensi!$F$519;2);PANGKAT(Normalisasi!$O$36-Konvergensi!$G$519;2);PANGKAT(Normalisasi!$P$36-Konvergensi!$H$519;2));0);JIKA(F500=1;JUMLAH(PANGKAT(Normalisasi!$J$36-Konvergensi!$B$520;2);PANGKAT(Normalisasi!$K$36-Konvergensi!$C$520;2);PANGKAT(Normalisasi!$L$36-Konvergensi!$D$520;2);PANGKAT(Normalisasi!$M$36-Konvergensi!$E$520;2);PANGKAT(Normalisasi!$N$36-Konvergensi!$F$520;2);PANGKAT(Normalisasi!$O$36-Konvergensi!$G$520;2);PANGKAT(Normalisasi!$P$36-Konvergensi!$H$520;2));0);JIKA(F500=2;JUMLAH(PANGKAT(Normalisasi!$J$36-Konvergensi!$B$521;2);PANGKAT(Normalisasi!$K$36-Konvergensi!$C$521;2);PANGKAT(Normalisasi!$L$36-Konvergensi!$D$521;2);PANGKAT(Normalisasi!$M$36-Konvergensi!$E$521;2);PANGKAT(Normalisasi!$N$36-Konvergensi!$F$521;2);PANGKAT(Normalisasi!$O$36-Konvergensi!$G$521;2);PANGKAT(Normalisasi!$P$36-Konvergensi!$H$521;2));0))</f>
        <v/>
      </c>
      <c r="H500" t="n">
        <v>0</v>
      </c>
      <c r="I500" t="n">
        <v>4.921929229411226</v>
      </c>
    </row>
    <row r="501">
      <c r="A501">
        <f>Data_Awal!A37</f>
        <v/>
      </c>
      <c r="B501">
        <f>Data_Awal!B37</f>
        <v/>
      </c>
      <c r="C501">
        <f>AKAR(JUMLAH(PANGKAT(Normalisasi!$J$37-Konvergensi!$B$454;2);PANGKAT(Normalisasi!$K$37-Konvergensi!$C$454;2);PANGKAT(Normalisasi!$L$37-Konvergensi!$D$454;2);PANGKAT(Normalisasi!$M$37-Konvergensi!$E$454;2);PANGKAT(Normalisasi!$N$37-Konvergensi!$F$454;2);PANGKAT(Normalisasi!$O$37-Konvergensi!$G$454;2);PANGKAT(Normalisasi!$P$37-Konvergensi!$H$454;2)))</f>
        <v/>
      </c>
      <c r="D501">
        <f>AKAR(JUMLAH(PANGKAT(Normalisasi!$J$37-Konvergensi!$B$455;2);PANGKAT(Normalisasi!$K$37-Konvergensi!$C$455;2);PANGKAT(Normalisasi!$L$37-Konvergensi!$D$455;2);PANGKAT(Normalisasi!$M$37-Konvergensi!$E$455;2);PANGKAT(Normalisasi!$N$37-Konvergensi!$F$455;2);PANGKAT(Normalisasi!$O$37-Konvergensi!$G$455;2);PANGKAT(Normalisasi!$P$37-Konvergensi!$H$455;2)))</f>
        <v/>
      </c>
      <c r="E501">
        <f>AKAR(JUMLAH(PANGKAT(Normalisasi!$J$37-Konvergensi!$B$456;2);PANGKAT(Normalisasi!$K$37-Konvergensi!$C$456;2);PANGKAT(Normalisasi!$L$37-Konvergensi!$D$456;2);PANGKAT(Normalisasi!$M$37-Konvergensi!$E$456;2);PANGKAT(Normalisasi!$N$37-Konvergensi!$F$456;2);PANGKAT(Normalisasi!$O$37-Konvergensi!$G$456;2);PANGKAT(Normalisasi!$P$37-Konvergensi!$H$456;2)))</f>
        <v/>
      </c>
      <c r="F501">
        <f>JIKA(C501&lt;=D501;=JIKA(C501&lt;=E501;0;2);=JIKA(D501&lt;=E501;1;2))</f>
        <v/>
      </c>
      <c r="G501">
        <f>JUMLAH(JIKA(F501=0;JUMLAH(PANGKAT(Normalisasi!$J$37-Konvergensi!$B$519;2);PANGKAT(Normalisasi!$K$37-Konvergensi!$C$519;2);PANGKAT(Normalisasi!$L$37-Konvergensi!$D$519;2);PANGKAT(Normalisasi!$M$37-Konvergensi!$E$519;2);PANGKAT(Normalisasi!$N$37-Konvergensi!$F$519;2);PANGKAT(Normalisasi!$O$37-Konvergensi!$G$519;2);PANGKAT(Normalisasi!$P$37-Konvergensi!$H$519;2));0);JIKA(F501=1;JUMLAH(PANGKAT(Normalisasi!$J$37-Konvergensi!$B$520;2);PANGKAT(Normalisasi!$K$37-Konvergensi!$C$520;2);PANGKAT(Normalisasi!$L$37-Konvergensi!$D$520;2);PANGKAT(Normalisasi!$M$37-Konvergensi!$E$520;2);PANGKAT(Normalisasi!$N$37-Konvergensi!$F$520;2);PANGKAT(Normalisasi!$O$37-Konvergensi!$G$520;2);PANGKAT(Normalisasi!$P$37-Konvergensi!$H$520;2));0);JIKA(F501=2;JUMLAH(PANGKAT(Normalisasi!$J$37-Konvergensi!$B$521;2);PANGKAT(Normalisasi!$K$37-Konvergensi!$C$521;2);PANGKAT(Normalisasi!$L$37-Konvergensi!$D$521;2);PANGKAT(Normalisasi!$M$37-Konvergensi!$E$521;2);PANGKAT(Normalisasi!$N$37-Konvergensi!$F$521;2);PANGKAT(Normalisasi!$O$37-Konvergensi!$G$521;2);PANGKAT(Normalisasi!$P$37-Konvergensi!$H$521;2));0))</f>
        <v/>
      </c>
      <c r="H501" t="n">
        <v>0</v>
      </c>
      <c r="I501" t="n">
        <v>6.240492086498</v>
      </c>
    </row>
    <row r="502">
      <c r="A502">
        <f>Data_Awal!A38</f>
        <v/>
      </c>
      <c r="B502">
        <f>Data_Awal!B38</f>
        <v/>
      </c>
      <c r="C502">
        <f>AKAR(JUMLAH(PANGKAT(Normalisasi!$J$38-Konvergensi!$B$454;2);PANGKAT(Normalisasi!$K$38-Konvergensi!$C$454;2);PANGKAT(Normalisasi!$L$38-Konvergensi!$D$454;2);PANGKAT(Normalisasi!$M$38-Konvergensi!$E$454;2);PANGKAT(Normalisasi!$N$38-Konvergensi!$F$454;2);PANGKAT(Normalisasi!$O$38-Konvergensi!$G$454;2);PANGKAT(Normalisasi!$P$38-Konvergensi!$H$454;2)))</f>
        <v/>
      </c>
      <c r="D502">
        <f>AKAR(JUMLAH(PANGKAT(Normalisasi!$J$38-Konvergensi!$B$455;2);PANGKAT(Normalisasi!$K$38-Konvergensi!$C$455;2);PANGKAT(Normalisasi!$L$38-Konvergensi!$D$455;2);PANGKAT(Normalisasi!$M$38-Konvergensi!$E$455;2);PANGKAT(Normalisasi!$N$38-Konvergensi!$F$455;2);PANGKAT(Normalisasi!$O$38-Konvergensi!$G$455;2);PANGKAT(Normalisasi!$P$38-Konvergensi!$H$455;2)))</f>
        <v/>
      </c>
      <c r="E502">
        <f>AKAR(JUMLAH(PANGKAT(Normalisasi!$J$38-Konvergensi!$B$456;2);PANGKAT(Normalisasi!$K$38-Konvergensi!$C$456;2);PANGKAT(Normalisasi!$L$38-Konvergensi!$D$456;2);PANGKAT(Normalisasi!$M$38-Konvergensi!$E$456;2);PANGKAT(Normalisasi!$N$38-Konvergensi!$F$456;2);PANGKAT(Normalisasi!$O$38-Konvergensi!$G$456;2);PANGKAT(Normalisasi!$P$38-Konvergensi!$H$456;2)))</f>
        <v/>
      </c>
      <c r="F502">
        <f>JIKA(C502&lt;=D502;=JIKA(C502&lt;=E502;0;2);=JIKA(D502&lt;=E502;1;2))</f>
        <v/>
      </c>
      <c r="G502">
        <f>JUMLAH(JIKA(F502=0;JUMLAH(PANGKAT(Normalisasi!$J$38-Konvergensi!$B$519;2);PANGKAT(Normalisasi!$K$38-Konvergensi!$C$519;2);PANGKAT(Normalisasi!$L$38-Konvergensi!$D$519;2);PANGKAT(Normalisasi!$M$38-Konvergensi!$E$519;2);PANGKAT(Normalisasi!$N$38-Konvergensi!$F$519;2);PANGKAT(Normalisasi!$O$38-Konvergensi!$G$519;2);PANGKAT(Normalisasi!$P$38-Konvergensi!$H$519;2));0);JIKA(F502=1;JUMLAH(PANGKAT(Normalisasi!$J$38-Konvergensi!$B$520;2);PANGKAT(Normalisasi!$K$38-Konvergensi!$C$520;2);PANGKAT(Normalisasi!$L$38-Konvergensi!$D$520;2);PANGKAT(Normalisasi!$M$38-Konvergensi!$E$520;2);PANGKAT(Normalisasi!$N$38-Konvergensi!$F$520;2);PANGKAT(Normalisasi!$O$38-Konvergensi!$G$520;2);PANGKAT(Normalisasi!$P$38-Konvergensi!$H$520;2));0);JIKA(F502=2;JUMLAH(PANGKAT(Normalisasi!$J$38-Konvergensi!$B$521;2);PANGKAT(Normalisasi!$K$38-Konvergensi!$C$521;2);PANGKAT(Normalisasi!$L$38-Konvergensi!$D$521;2);PANGKAT(Normalisasi!$M$38-Konvergensi!$E$521;2);PANGKAT(Normalisasi!$N$38-Konvergensi!$F$521;2);PANGKAT(Normalisasi!$O$38-Konvergensi!$G$521;2);PANGKAT(Normalisasi!$P$38-Konvergensi!$H$521;2));0))</f>
        <v/>
      </c>
      <c r="H502" t="n">
        <v>1</v>
      </c>
      <c r="I502" t="n">
        <v>3.980198617838536</v>
      </c>
    </row>
    <row r="503">
      <c r="A503">
        <f>Data_Awal!A39</f>
        <v/>
      </c>
      <c r="B503">
        <f>Data_Awal!B39</f>
        <v/>
      </c>
      <c r="C503">
        <f>AKAR(JUMLAH(PANGKAT(Normalisasi!$J$39-Konvergensi!$B$454;2);PANGKAT(Normalisasi!$K$39-Konvergensi!$C$454;2);PANGKAT(Normalisasi!$L$39-Konvergensi!$D$454;2);PANGKAT(Normalisasi!$M$39-Konvergensi!$E$454;2);PANGKAT(Normalisasi!$N$39-Konvergensi!$F$454;2);PANGKAT(Normalisasi!$O$39-Konvergensi!$G$454;2);PANGKAT(Normalisasi!$P$39-Konvergensi!$H$454;2)))</f>
        <v/>
      </c>
      <c r="D503">
        <f>AKAR(JUMLAH(PANGKAT(Normalisasi!$J$39-Konvergensi!$B$455;2);PANGKAT(Normalisasi!$K$39-Konvergensi!$C$455;2);PANGKAT(Normalisasi!$L$39-Konvergensi!$D$455;2);PANGKAT(Normalisasi!$M$39-Konvergensi!$E$455;2);PANGKAT(Normalisasi!$N$39-Konvergensi!$F$455;2);PANGKAT(Normalisasi!$O$39-Konvergensi!$G$455;2);PANGKAT(Normalisasi!$P$39-Konvergensi!$H$455;2)))</f>
        <v/>
      </c>
      <c r="E503">
        <f>AKAR(JUMLAH(PANGKAT(Normalisasi!$J$39-Konvergensi!$B$456;2);PANGKAT(Normalisasi!$K$39-Konvergensi!$C$456;2);PANGKAT(Normalisasi!$L$39-Konvergensi!$D$456;2);PANGKAT(Normalisasi!$M$39-Konvergensi!$E$456;2);PANGKAT(Normalisasi!$N$39-Konvergensi!$F$456;2);PANGKAT(Normalisasi!$O$39-Konvergensi!$G$456;2);PANGKAT(Normalisasi!$P$39-Konvergensi!$H$456;2)))</f>
        <v/>
      </c>
      <c r="F503">
        <f>JIKA(C503&lt;=D503;=JIKA(C503&lt;=E503;0;2);=JIKA(D503&lt;=E503;1;2))</f>
        <v/>
      </c>
      <c r="G503">
        <f>JUMLAH(JIKA(F503=0;JUMLAH(PANGKAT(Normalisasi!$J$39-Konvergensi!$B$519;2);PANGKAT(Normalisasi!$K$39-Konvergensi!$C$519;2);PANGKAT(Normalisasi!$L$39-Konvergensi!$D$519;2);PANGKAT(Normalisasi!$M$39-Konvergensi!$E$519;2);PANGKAT(Normalisasi!$N$39-Konvergensi!$F$519;2);PANGKAT(Normalisasi!$O$39-Konvergensi!$G$519;2);PANGKAT(Normalisasi!$P$39-Konvergensi!$H$519;2));0);JIKA(F503=1;JUMLAH(PANGKAT(Normalisasi!$J$39-Konvergensi!$B$520;2);PANGKAT(Normalisasi!$K$39-Konvergensi!$C$520;2);PANGKAT(Normalisasi!$L$39-Konvergensi!$D$520;2);PANGKAT(Normalisasi!$M$39-Konvergensi!$E$520;2);PANGKAT(Normalisasi!$N$39-Konvergensi!$F$520;2);PANGKAT(Normalisasi!$O$39-Konvergensi!$G$520;2);PANGKAT(Normalisasi!$P$39-Konvergensi!$H$520;2));0);JIKA(F503=2;JUMLAH(PANGKAT(Normalisasi!$J$39-Konvergensi!$B$521;2);PANGKAT(Normalisasi!$K$39-Konvergensi!$C$521;2);PANGKAT(Normalisasi!$L$39-Konvergensi!$D$521;2);PANGKAT(Normalisasi!$M$39-Konvergensi!$E$521;2);PANGKAT(Normalisasi!$N$39-Konvergensi!$F$521;2);PANGKAT(Normalisasi!$O$39-Konvergensi!$G$521;2);PANGKAT(Normalisasi!$P$39-Konvergensi!$H$521;2));0))</f>
        <v/>
      </c>
      <c r="H503" t="n">
        <v>0</v>
      </c>
      <c r="I503" t="n">
        <v>10.07206267924025</v>
      </c>
    </row>
    <row r="504">
      <c r="A504">
        <f>Data_Awal!A40</f>
        <v/>
      </c>
      <c r="B504">
        <f>Data_Awal!B40</f>
        <v/>
      </c>
      <c r="C504">
        <f>AKAR(JUMLAH(PANGKAT(Normalisasi!$J$40-Konvergensi!$B$454;2);PANGKAT(Normalisasi!$K$40-Konvergensi!$C$454;2);PANGKAT(Normalisasi!$L$40-Konvergensi!$D$454;2);PANGKAT(Normalisasi!$M$40-Konvergensi!$E$454;2);PANGKAT(Normalisasi!$N$40-Konvergensi!$F$454;2);PANGKAT(Normalisasi!$O$40-Konvergensi!$G$454;2);PANGKAT(Normalisasi!$P$40-Konvergensi!$H$454;2)))</f>
        <v/>
      </c>
      <c r="D504">
        <f>AKAR(JUMLAH(PANGKAT(Normalisasi!$J$40-Konvergensi!$B$455;2);PANGKAT(Normalisasi!$K$40-Konvergensi!$C$455;2);PANGKAT(Normalisasi!$L$40-Konvergensi!$D$455;2);PANGKAT(Normalisasi!$M$40-Konvergensi!$E$455;2);PANGKAT(Normalisasi!$N$40-Konvergensi!$F$455;2);PANGKAT(Normalisasi!$O$40-Konvergensi!$G$455;2);PANGKAT(Normalisasi!$P$40-Konvergensi!$H$455;2)))</f>
        <v/>
      </c>
      <c r="E504">
        <f>AKAR(JUMLAH(PANGKAT(Normalisasi!$J$40-Konvergensi!$B$456;2);PANGKAT(Normalisasi!$K$40-Konvergensi!$C$456;2);PANGKAT(Normalisasi!$L$40-Konvergensi!$D$456;2);PANGKAT(Normalisasi!$M$40-Konvergensi!$E$456;2);PANGKAT(Normalisasi!$N$40-Konvergensi!$F$456;2);PANGKAT(Normalisasi!$O$40-Konvergensi!$G$456;2);PANGKAT(Normalisasi!$P$40-Konvergensi!$H$456;2)))</f>
        <v/>
      </c>
      <c r="F504">
        <f>JIKA(C504&lt;=D504;=JIKA(C504&lt;=E504;0;2);=JIKA(D504&lt;=E504;1;2))</f>
        <v/>
      </c>
      <c r="G504">
        <f>JUMLAH(JIKA(F504=0;JUMLAH(PANGKAT(Normalisasi!$J$40-Konvergensi!$B$519;2);PANGKAT(Normalisasi!$K$40-Konvergensi!$C$519;2);PANGKAT(Normalisasi!$L$40-Konvergensi!$D$519;2);PANGKAT(Normalisasi!$M$40-Konvergensi!$E$519;2);PANGKAT(Normalisasi!$N$40-Konvergensi!$F$519;2);PANGKAT(Normalisasi!$O$40-Konvergensi!$G$519;2);PANGKAT(Normalisasi!$P$40-Konvergensi!$H$519;2));0);JIKA(F504=1;JUMLAH(PANGKAT(Normalisasi!$J$40-Konvergensi!$B$520;2);PANGKAT(Normalisasi!$K$40-Konvergensi!$C$520;2);PANGKAT(Normalisasi!$L$40-Konvergensi!$D$520;2);PANGKAT(Normalisasi!$M$40-Konvergensi!$E$520;2);PANGKAT(Normalisasi!$N$40-Konvergensi!$F$520;2);PANGKAT(Normalisasi!$O$40-Konvergensi!$G$520;2);PANGKAT(Normalisasi!$P$40-Konvergensi!$H$520;2));0);JIKA(F504=2;JUMLAH(PANGKAT(Normalisasi!$J$40-Konvergensi!$B$521;2);PANGKAT(Normalisasi!$K$40-Konvergensi!$C$521;2);PANGKAT(Normalisasi!$L$40-Konvergensi!$D$521;2);PANGKAT(Normalisasi!$M$40-Konvergensi!$E$521;2);PANGKAT(Normalisasi!$N$40-Konvergensi!$F$521;2);PANGKAT(Normalisasi!$O$40-Konvergensi!$G$521;2);PANGKAT(Normalisasi!$P$40-Konvergensi!$H$521;2));0))</f>
        <v/>
      </c>
      <c r="H504" t="n">
        <v>1</v>
      </c>
      <c r="I504" t="n">
        <v>5.377265241702048</v>
      </c>
    </row>
    <row r="505">
      <c r="A505">
        <f>Data_Awal!A41</f>
        <v/>
      </c>
      <c r="B505">
        <f>Data_Awal!B41</f>
        <v/>
      </c>
      <c r="C505">
        <f>AKAR(JUMLAH(PANGKAT(Normalisasi!$J$41-Konvergensi!$B$454;2);PANGKAT(Normalisasi!$K$41-Konvergensi!$C$454;2);PANGKAT(Normalisasi!$L$41-Konvergensi!$D$454;2);PANGKAT(Normalisasi!$M$41-Konvergensi!$E$454;2);PANGKAT(Normalisasi!$N$41-Konvergensi!$F$454;2);PANGKAT(Normalisasi!$O$41-Konvergensi!$G$454;2);PANGKAT(Normalisasi!$P$41-Konvergensi!$H$454;2)))</f>
        <v/>
      </c>
      <c r="D505">
        <f>AKAR(JUMLAH(PANGKAT(Normalisasi!$J$41-Konvergensi!$B$455;2);PANGKAT(Normalisasi!$K$41-Konvergensi!$C$455;2);PANGKAT(Normalisasi!$L$41-Konvergensi!$D$455;2);PANGKAT(Normalisasi!$M$41-Konvergensi!$E$455;2);PANGKAT(Normalisasi!$N$41-Konvergensi!$F$455;2);PANGKAT(Normalisasi!$O$41-Konvergensi!$G$455;2);PANGKAT(Normalisasi!$P$41-Konvergensi!$H$455;2)))</f>
        <v/>
      </c>
      <c r="E505">
        <f>AKAR(JUMLAH(PANGKAT(Normalisasi!$J$41-Konvergensi!$B$456;2);PANGKAT(Normalisasi!$K$41-Konvergensi!$C$456;2);PANGKAT(Normalisasi!$L$41-Konvergensi!$D$456;2);PANGKAT(Normalisasi!$M$41-Konvergensi!$E$456;2);PANGKAT(Normalisasi!$N$41-Konvergensi!$F$456;2);PANGKAT(Normalisasi!$O$41-Konvergensi!$G$456;2);PANGKAT(Normalisasi!$P$41-Konvergensi!$H$456;2)))</f>
        <v/>
      </c>
      <c r="F505">
        <f>JIKA(C505&lt;=D505;=JIKA(C505&lt;=E505;0;2);=JIKA(D505&lt;=E505;1;2))</f>
        <v/>
      </c>
      <c r="G505">
        <f>JUMLAH(JIKA(F505=0;JUMLAH(PANGKAT(Normalisasi!$J$41-Konvergensi!$B$519;2);PANGKAT(Normalisasi!$K$41-Konvergensi!$C$519;2);PANGKAT(Normalisasi!$L$41-Konvergensi!$D$519;2);PANGKAT(Normalisasi!$M$41-Konvergensi!$E$519;2);PANGKAT(Normalisasi!$N$41-Konvergensi!$F$519;2);PANGKAT(Normalisasi!$O$41-Konvergensi!$G$519;2);PANGKAT(Normalisasi!$P$41-Konvergensi!$H$519;2));0);JIKA(F505=1;JUMLAH(PANGKAT(Normalisasi!$J$41-Konvergensi!$B$520;2);PANGKAT(Normalisasi!$K$41-Konvergensi!$C$520;2);PANGKAT(Normalisasi!$L$41-Konvergensi!$D$520;2);PANGKAT(Normalisasi!$M$41-Konvergensi!$E$520;2);PANGKAT(Normalisasi!$N$41-Konvergensi!$F$520;2);PANGKAT(Normalisasi!$O$41-Konvergensi!$G$520;2);PANGKAT(Normalisasi!$P$41-Konvergensi!$H$520;2));0);JIKA(F505=2;JUMLAH(PANGKAT(Normalisasi!$J$41-Konvergensi!$B$521;2);PANGKAT(Normalisasi!$K$41-Konvergensi!$C$521;2);PANGKAT(Normalisasi!$L$41-Konvergensi!$D$521;2);PANGKAT(Normalisasi!$M$41-Konvergensi!$E$521;2);PANGKAT(Normalisasi!$N$41-Konvergensi!$F$521;2);PANGKAT(Normalisasi!$O$41-Konvergensi!$G$521;2);PANGKAT(Normalisasi!$P$41-Konvergensi!$H$521;2));0))</f>
        <v/>
      </c>
      <c r="H505" t="n">
        <v>1</v>
      </c>
      <c r="I505" t="n">
        <v>6.528710760880894</v>
      </c>
    </row>
    <row r="506">
      <c r="A506">
        <f>Data_Awal!A42</f>
        <v/>
      </c>
      <c r="B506">
        <f>Data_Awal!B42</f>
        <v/>
      </c>
      <c r="C506">
        <f>AKAR(JUMLAH(PANGKAT(Normalisasi!$J$42-Konvergensi!$B$454;2);PANGKAT(Normalisasi!$K$42-Konvergensi!$C$454;2);PANGKAT(Normalisasi!$L$42-Konvergensi!$D$454;2);PANGKAT(Normalisasi!$M$42-Konvergensi!$E$454;2);PANGKAT(Normalisasi!$N$42-Konvergensi!$F$454;2);PANGKAT(Normalisasi!$O$42-Konvergensi!$G$454;2);PANGKAT(Normalisasi!$P$42-Konvergensi!$H$454;2)))</f>
        <v/>
      </c>
      <c r="D506">
        <f>AKAR(JUMLAH(PANGKAT(Normalisasi!$J$42-Konvergensi!$B$455;2);PANGKAT(Normalisasi!$K$42-Konvergensi!$C$455;2);PANGKAT(Normalisasi!$L$42-Konvergensi!$D$455;2);PANGKAT(Normalisasi!$M$42-Konvergensi!$E$455;2);PANGKAT(Normalisasi!$N$42-Konvergensi!$F$455;2);PANGKAT(Normalisasi!$O$42-Konvergensi!$G$455;2);PANGKAT(Normalisasi!$P$42-Konvergensi!$H$455;2)))</f>
        <v/>
      </c>
      <c r="E506">
        <f>AKAR(JUMLAH(PANGKAT(Normalisasi!$J$42-Konvergensi!$B$456;2);PANGKAT(Normalisasi!$K$42-Konvergensi!$C$456;2);PANGKAT(Normalisasi!$L$42-Konvergensi!$D$456;2);PANGKAT(Normalisasi!$M$42-Konvergensi!$E$456;2);PANGKAT(Normalisasi!$N$42-Konvergensi!$F$456;2);PANGKAT(Normalisasi!$O$42-Konvergensi!$G$456;2);PANGKAT(Normalisasi!$P$42-Konvergensi!$H$456;2)))</f>
        <v/>
      </c>
      <c r="F506">
        <f>JIKA(C506&lt;=D506;=JIKA(C506&lt;=E506;0;2);=JIKA(D506&lt;=E506;1;2))</f>
        <v/>
      </c>
      <c r="G506">
        <f>JUMLAH(JIKA(F506=0;JUMLAH(PANGKAT(Normalisasi!$J$42-Konvergensi!$B$519;2);PANGKAT(Normalisasi!$K$42-Konvergensi!$C$519;2);PANGKAT(Normalisasi!$L$42-Konvergensi!$D$519;2);PANGKAT(Normalisasi!$M$42-Konvergensi!$E$519;2);PANGKAT(Normalisasi!$N$42-Konvergensi!$F$519;2);PANGKAT(Normalisasi!$O$42-Konvergensi!$G$519;2);PANGKAT(Normalisasi!$P$42-Konvergensi!$H$519;2));0);JIKA(F506=1;JUMLAH(PANGKAT(Normalisasi!$J$42-Konvergensi!$B$520;2);PANGKAT(Normalisasi!$K$42-Konvergensi!$C$520;2);PANGKAT(Normalisasi!$L$42-Konvergensi!$D$520;2);PANGKAT(Normalisasi!$M$42-Konvergensi!$E$520;2);PANGKAT(Normalisasi!$N$42-Konvergensi!$F$520;2);PANGKAT(Normalisasi!$O$42-Konvergensi!$G$520;2);PANGKAT(Normalisasi!$P$42-Konvergensi!$H$520;2));0);JIKA(F506=2;JUMLAH(PANGKAT(Normalisasi!$J$42-Konvergensi!$B$521;2);PANGKAT(Normalisasi!$K$42-Konvergensi!$C$521;2);PANGKAT(Normalisasi!$L$42-Konvergensi!$D$521;2);PANGKAT(Normalisasi!$M$42-Konvergensi!$E$521;2);PANGKAT(Normalisasi!$N$42-Konvergensi!$F$521;2);PANGKAT(Normalisasi!$O$42-Konvergensi!$G$521;2);PANGKAT(Normalisasi!$P$42-Konvergensi!$H$521;2));0))</f>
        <v/>
      </c>
      <c r="H506" t="n">
        <v>0</v>
      </c>
      <c r="I506" t="n">
        <v>2.393217974422658</v>
      </c>
    </row>
    <row r="507">
      <c r="A507">
        <f>Data_Awal!A43</f>
        <v/>
      </c>
      <c r="B507">
        <f>Data_Awal!B43</f>
        <v/>
      </c>
      <c r="C507">
        <f>AKAR(JUMLAH(PANGKAT(Normalisasi!$J$43-Konvergensi!$B$454;2);PANGKAT(Normalisasi!$K$43-Konvergensi!$C$454;2);PANGKAT(Normalisasi!$L$43-Konvergensi!$D$454;2);PANGKAT(Normalisasi!$M$43-Konvergensi!$E$454;2);PANGKAT(Normalisasi!$N$43-Konvergensi!$F$454;2);PANGKAT(Normalisasi!$O$43-Konvergensi!$G$454;2);PANGKAT(Normalisasi!$P$43-Konvergensi!$H$454;2)))</f>
        <v/>
      </c>
      <c r="D507">
        <f>AKAR(JUMLAH(PANGKAT(Normalisasi!$J$43-Konvergensi!$B$455;2);PANGKAT(Normalisasi!$K$43-Konvergensi!$C$455;2);PANGKAT(Normalisasi!$L$43-Konvergensi!$D$455;2);PANGKAT(Normalisasi!$M$43-Konvergensi!$E$455;2);PANGKAT(Normalisasi!$N$43-Konvergensi!$F$455;2);PANGKAT(Normalisasi!$O$43-Konvergensi!$G$455;2);PANGKAT(Normalisasi!$P$43-Konvergensi!$H$455;2)))</f>
        <v/>
      </c>
      <c r="E507">
        <f>AKAR(JUMLAH(PANGKAT(Normalisasi!$J$43-Konvergensi!$B$456;2);PANGKAT(Normalisasi!$K$43-Konvergensi!$C$456;2);PANGKAT(Normalisasi!$L$43-Konvergensi!$D$456;2);PANGKAT(Normalisasi!$M$43-Konvergensi!$E$456;2);PANGKAT(Normalisasi!$N$43-Konvergensi!$F$456;2);PANGKAT(Normalisasi!$O$43-Konvergensi!$G$456;2);PANGKAT(Normalisasi!$P$43-Konvergensi!$H$456;2)))</f>
        <v/>
      </c>
      <c r="F507">
        <f>JIKA(C507&lt;=D507;=JIKA(C507&lt;=E507;0;2);=JIKA(D507&lt;=E507;1;2))</f>
        <v/>
      </c>
      <c r="G507">
        <f>JUMLAH(JIKA(F507=0;JUMLAH(PANGKAT(Normalisasi!$J$43-Konvergensi!$B$519;2);PANGKAT(Normalisasi!$K$43-Konvergensi!$C$519;2);PANGKAT(Normalisasi!$L$43-Konvergensi!$D$519;2);PANGKAT(Normalisasi!$M$43-Konvergensi!$E$519;2);PANGKAT(Normalisasi!$N$43-Konvergensi!$F$519;2);PANGKAT(Normalisasi!$O$43-Konvergensi!$G$519;2);PANGKAT(Normalisasi!$P$43-Konvergensi!$H$519;2));0);JIKA(F507=1;JUMLAH(PANGKAT(Normalisasi!$J$43-Konvergensi!$B$520;2);PANGKAT(Normalisasi!$K$43-Konvergensi!$C$520;2);PANGKAT(Normalisasi!$L$43-Konvergensi!$D$520;2);PANGKAT(Normalisasi!$M$43-Konvergensi!$E$520;2);PANGKAT(Normalisasi!$N$43-Konvergensi!$F$520;2);PANGKAT(Normalisasi!$O$43-Konvergensi!$G$520;2);PANGKAT(Normalisasi!$P$43-Konvergensi!$H$520;2));0);JIKA(F507=2;JUMLAH(PANGKAT(Normalisasi!$J$43-Konvergensi!$B$521;2);PANGKAT(Normalisasi!$K$43-Konvergensi!$C$521;2);PANGKAT(Normalisasi!$L$43-Konvergensi!$D$521;2);PANGKAT(Normalisasi!$M$43-Konvergensi!$E$521;2);PANGKAT(Normalisasi!$N$43-Konvergensi!$F$521;2);PANGKAT(Normalisasi!$O$43-Konvergensi!$G$521;2);PANGKAT(Normalisasi!$P$43-Konvergensi!$H$521;2));0))</f>
        <v/>
      </c>
      <c r="H507" t="n">
        <v>2</v>
      </c>
      <c r="I507" t="n">
        <v>6.13806648186349</v>
      </c>
    </row>
    <row r="508">
      <c r="A508">
        <f>Data_Awal!A44</f>
        <v/>
      </c>
      <c r="B508">
        <f>Data_Awal!B44</f>
        <v/>
      </c>
      <c r="C508">
        <f>AKAR(JUMLAH(PANGKAT(Normalisasi!$J$44-Konvergensi!$B$454;2);PANGKAT(Normalisasi!$K$44-Konvergensi!$C$454;2);PANGKAT(Normalisasi!$L$44-Konvergensi!$D$454;2);PANGKAT(Normalisasi!$M$44-Konvergensi!$E$454;2);PANGKAT(Normalisasi!$N$44-Konvergensi!$F$454;2);PANGKAT(Normalisasi!$O$44-Konvergensi!$G$454;2);PANGKAT(Normalisasi!$P$44-Konvergensi!$H$454;2)))</f>
        <v/>
      </c>
      <c r="D508">
        <f>AKAR(JUMLAH(PANGKAT(Normalisasi!$J$44-Konvergensi!$B$455;2);PANGKAT(Normalisasi!$K$44-Konvergensi!$C$455;2);PANGKAT(Normalisasi!$L$44-Konvergensi!$D$455;2);PANGKAT(Normalisasi!$M$44-Konvergensi!$E$455;2);PANGKAT(Normalisasi!$N$44-Konvergensi!$F$455;2);PANGKAT(Normalisasi!$O$44-Konvergensi!$G$455;2);PANGKAT(Normalisasi!$P$44-Konvergensi!$H$455;2)))</f>
        <v/>
      </c>
      <c r="E508">
        <f>AKAR(JUMLAH(PANGKAT(Normalisasi!$J$44-Konvergensi!$B$456;2);PANGKAT(Normalisasi!$K$44-Konvergensi!$C$456;2);PANGKAT(Normalisasi!$L$44-Konvergensi!$D$456;2);PANGKAT(Normalisasi!$M$44-Konvergensi!$E$456;2);PANGKAT(Normalisasi!$N$44-Konvergensi!$F$456;2);PANGKAT(Normalisasi!$O$44-Konvergensi!$G$456;2);PANGKAT(Normalisasi!$P$44-Konvergensi!$H$456;2)))</f>
        <v/>
      </c>
      <c r="F508">
        <f>JIKA(C508&lt;=D508;=JIKA(C508&lt;=E508;0;2);=JIKA(D508&lt;=E508;1;2))</f>
        <v/>
      </c>
      <c r="G508">
        <f>JUMLAH(JIKA(F508=0;JUMLAH(PANGKAT(Normalisasi!$J$44-Konvergensi!$B$519;2);PANGKAT(Normalisasi!$K$44-Konvergensi!$C$519;2);PANGKAT(Normalisasi!$L$44-Konvergensi!$D$519;2);PANGKAT(Normalisasi!$M$44-Konvergensi!$E$519;2);PANGKAT(Normalisasi!$N$44-Konvergensi!$F$519;2);PANGKAT(Normalisasi!$O$44-Konvergensi!$G$519;2);PANGKAT(Normalisasi!$P$44-Konvergensi!$H$519;2));0);JIKA(F508=1;JUMLAH(PANGKAT(Normalisasi!$J$44-Konvergensi!$B$520;2);PANGKAT(Normalisasi!$K$44-Konvergensi!$C$520;2);PANGKAT(Normalisasi!$L$44-Konvergensi!$D$520;2);PANGKAT(Normalisasi!$M$44-Konvergensi!$E$520;2);PANGKAT(Normalisasi!$N$44-Konvergensi!$F$520;2);PANGKAT(Normalisasi!$O$44-Konvergensi!$G$520;2);PANGKAT(Normalisasi!$P$44-Konvergensi!$H$520;2));0);JIKA(F508=2;JUMLAH(PANGKAT(Normalisasi!$J$44-Konvergensi!$B$521;2);PANGKAT(Normalisasi!$K$44-Konvergensi!$C$521;2);PANGKAT(Normalisasi!$L$44-Konvergensi!$D$521;2);PANGKAT(Normalisasi!$M$44-Konvergensi!$E$521;2);PANGKAT(Normalisasi!$N$44-Konvergensi!$F$521;2);PANGKAT(Normalisasi!$O$44-Konvergensi!$G$521;2);PANGKAT(Normalisasi!$P$44-Konvergensi!$H$521;2));0))</f>
        <v/>
      </c>
      <c r="H508" t="n">
        <v>2</v>
      </c>
      <c r="I508" t="n">
        <v>1.931357415700297</v>
      </c>
    </row>
    <row r="509">
      <c r="A509">
        <f>Data_Awal!A45</f>
        <v/>
      </c>
      <c r="B509">
        <f>Data_Awal!B45</f>
        <v/>
      </c>
      <c r="C509">
        <f>AKAR(JUMLAH(PANGKAT(Normalisasi!$J$45-Konvergensi!$B$454;2);PANGKAT(Normalisasi!$K$45-Konvergensi!$C$454;2);PANGKAT(Normalisasi!$L$45-Konvergensi!$D$454;2);PANGKAT(Normalisasi!$M$45-Konvergensi!$E$454;2);PANGKAT(Normalisasi!$N$45-Konvergensi!$F$454;2);PANGKAT(Normalisasi!$O$45-Konvergensi!$G$454;2);PANGKAT(Normalisasi!$P$45-Konvergensi!$H$454;2)))</f>
        <v/>
      </c>
      <c r="D509">
        <f>AKAR(JUMLAH(PANGKAT(Normalisasi!$J$45-Konvergensi!$B$455;2);PANGKAT(Normalisasi!$K$45-Konvergensi!$C$455;2);PANGKAT(Normalisasi!$L$45-Konvergensi!$D$455;2);PANGKAT(Normalisasi!$M$45-Konvergensi!$E$455;2);PANGKAT(Normalisasi!$N$45-Konvergensi!$F$455;2);PANGKAT(Normalisasi!$O$45-Konvergensi!$G$455;2);PANGKAT(Normalisasi!$P$45-Konvergensi!$H$455;2)))</f>
        <v/>
      </c>
      <c r="E509">
        <f>AKAR(JUMLAH(PANGKAT(Normalisasi!$J$45-Konvergensi!$B$456;2);PANGKAT(Normalisasi!$K$45-Konvergensi!$C$456;2);PANGKAT(Normalisasi!$L$45-Konvergensi!$D$456;2);PANGKAT(Normalisasi!$M$45-Konvergensi!$E$456;2);PANGKAT(Normalisasi!$N$45-Konvergensi!$F$456;2);PANGKAT(Normalisasi!$O$45-Konvergensi!$G$456;2);PANGKAT(Normalisasi!$P$45-Konvergensi!$H$456;2)))</f>
        <v/>
      </c>
      <c r="F509">
        <f>JIKA(C509&lt;=D509;=JIKA(C509&lt;=E509;0;2);=JIKA(D509&lt;=E509;1;2))</f>
        <v/>
      </c>
      <c r="G509">
        <f>JUMLAH(JIKA(F509=0;JUMLAH(PANGKAT(Normalisasi!$J$45-Konvergensi!$B$519;2);PANGKAT(Normalisasi!$K$45-Konvergensi!$C$519;2);PANGKAT(Normalisasi!$L$45-Konvergensi!$D$519;2);PANGKAT(Normalisasi!$M$45-Konvergensi!$E$519;2);PANGKAT(Normalisasi!$N$45-Konvergensi!$F$519;2);PANGKAT(Normalisasi!$O$45-Konvergensi!$G$519;2);PANGKAT(Normalisasi!$P$45-Konvergensi!$H$519;2));0);JIKA(F509=1;JUMLAH(PANGKAT(Normalisasi!$J$45-Konvergensi!$B$520;2);PANGKAT(Normalisasi!$K$45-Konvergensi!$C$520;2);PANGKAT(Normalisasi!$L$45-Konvergensi!$D$520;2);PANGKAT(Normalisasi!$M$45-Konvergensi!$E$520;2);PANGKAT(Normalisasi!$N$45-Konvergensi!$F$520;2);PANGKAT(Normalisasi!$O$45-Konvergensi!$G$520;2);PANGKAT(Normalisasi!$P$45-Konvergensi!$H$520;2));0);JIKA(F509=2;JUMLAH(PANGKAT(Normalisasi!$J$45-Konvergensi!$B$521;2);PANGKAT(Normalisasi!$K$45-Konvergensi!$C$521;2);PANGKAT(Normalisasi!$L$45-Konvergensi!$D$521;2);PANGKAT(Normalisasi!$M$45-Konvergensi!$E$521;2);PANGKAT(Normalisasi!$N$45-Konvergensi!$F$521;2);PANGKAT(Normalisasi!$O$45-Konvergensi!$G$521;2);PANGKAT(Normalisasi!$P$45-Konvergensi!$H$521;2));0))</f>
        <v/>
      </c>
      <c r="H509" t="n">
        <v>2</v>
      </c>
      <c r="I509" t="n">
        <v>5.323038586538653</v>
      </c>
    </row>
    <row r="510">
      <c r="A510">
        <f>Data_Awal!A46</f>
        <v/>
      </c>
      <c r="B510">
        <f>Data_Awal!B46</f>
        <v/>
      </c>
      <c r="C510">
        <f>AKAR(JUMLAH(PANGKAT(Normalisasi!$J$46-Konvergensi!$B$454;2);PANGKAT(Normalisasi!$K$46-Konvergensi!$C$454;2);PANGKAT(Normalisasi!$L$46-Konvergensi!$D$454;2);PANGKAT(Normalisasi!$M$46-Konvergensi!$E$454;2);PANGKAT(Normalisasi!$N$46-Konvergensi!$F$454;2);PANGKAT(Normalisasi!$O$46-Konvergensi!$G$454;2);PANGKAT(Normalisasi!$P$46-Konvergensi!$H$454;2)))</f>
        <v/>
      </c>
      <c r="D510">
        <f>AKAR(JUMLAH(PANGKAT(Normalisasi!$J$46-Konvergensi!$B$455;2);PANGKAT(Normalisasi!$K$46-Konvergensi!$C$455;2);PANGKAT(Normalisasi!$L$46-Konvergensi!$D$455;2);PANGKAT(Normalisasi!$M$46-Konvergensi!$E$455;2);PANGKAT(Normalisasi!$N$46-Konvergensi!$F$455;2);PANGKAT(Normalisasi!$O$46-Konvergensi!$G$455;2);PANGKAT(Normalisasi!$P$46-Konvergensi!$H$455;2)))</f>
        <v/>
      </c>
      <c r="E510">
        <f>AKAR(JUMLAH(PANGKAT(Normalisasi!$J$46-Konvergensi!$B$456;2);PANGKAT(Normalisasi!$K$46-Konvergensi!$C$456;2);PANGKAT(Normalisasi!$L$46-Konvergensi!$D$456;2);PANGKAT(Normalisasi!$M$46-Konvergensi!$E$456;2);PANGKAT(Normalisasi!$N$46-Konvergensi!$F$456;2);PANGKAT(Normalisasi!$O$46-Konvergensi!$G$456;2);PANGKAT(Normalisasi!$P$46-Konvergensi!$H$456;2)))</f>
        <v/>
      </c>
      <c r="F510">
        <f>JIKA(C510&lt;=D510;=JIKA(C510&lt;=E510;0;2);=JIKA(D510&lt;=E510;1;2))</f>
        <v/>
      </c>
      <c r="G510">
        <f>JUMLAH(JIKA(F510=0;JUMLAH(PANGKAT(Normalisasi!$J$46-Konvergensi!$B$519;2);PANGKAT(Normalisasi!$K$46-Konvergensi!$C$519;2);PANGKAT(Normalisasi!$L$46-Konvergensi!$D$519;2);PANGKAT(Normalisasi!$M$46-Konvergensi!$E$519;2);PANGKAT(Normalisasi!$N$46-Konvergensi!$F$519;2);PANGKAT(Normalisasi!$O$46-Konvergensi!$G$519;2);PANGKAT(Normalisasi!$P$46-Konvergensi!$H$519;2));0);JIKA(F510=1;JUMLAH(PANGKAT(Normalisasi!$J$46-Konvergensi!$B$520;2);PANGKAT(Normalisasi!$K$46-Konvergensi!$C$520;2);PANGKAT(Normalisasi!$L$46-Konvergensi!$D$520;2);PANGKAT(Normalisasi!$M$46-Konvergensi!$E$520;2);PANGKAT(Normalisasi!$N$46-Konvergensi!$F$520;2);PANGKAT(Normalisasi!$O$46-Konvergensi!$G$520;2);PANGKAT(Normalisasi!$P$46-Konvergensi!$H$520;2));0);JIKA(F510=2;JUMLAH(PANGKAT(Normalisasi!$J$46-Konvergensi!$B$521;2);PANGKAT(Normalisasi!$K$46-Konvergensi!$C$521;2);PANGKAT(Normalisasi!$L$46-Konvergensi!$D$521;2);PANGKAT(Normalisasi!$M$46-Konvergensi!$E$521;2);PANGKAT(Normalisasi!$N$46-Konvergensi!$F$521;2);PANGKAT(Normalisasi!$O$46-Konvergensi!$G$521;2);PANGKAT(Normalisasi!$P$46-Konvergensi!$H$521;2));0))</f>
        <v/>
      </c>
      <c r="H510" t="n">
        <v>2</v>
      </c>
      <c r="I510" t="n">
        <v>5.698430410227161</v>
      </c>
    </row>
    <row r="511">
      <c r="A511">
        <f>Data_Awal!A47</f>
        <v/>
      </c>
      <c r="B511">
        <f>Data_Awal!B47</f>
        <v/>
      </c>
      <c r="C511">
        <f>AKAR(JUMLAH(PANGKAT(Normalisasi!$J$47-Konvergensi!$B$454;2);PANGKAT(Normalisasi!$K$47-Konvergensi!$C$454;2);PANGKAT(Normalisasi!$L$47-Konvergensi!$D$454;2);PANGKAT(Normalisasi!$M$47-Konvergensi!$E$454;2);PANGKAT(Normalisasi!$N$47-Konvergensi!$F$454;2);PANGKAT(Normalisasi!$O$47-Konvergensi!$G$454;2);PANGKAT(Normalisasi!$P$47-Konvergensi!$H$454;2)))</f>
        <v/>
      </c>
      <c r="D511">
        <f>AKAR(JUMLAH(PANGKAT(Normalisasi!$J$47-Konvergensi!$B$455;2);PANGKAT(Normalisasi!$K$47-Konvergensi!$C$455;2);PANGKAT(Normalisasi!$L$47-Konvergensi!$D$455;2);PANGKAT(Normalisasi!$M$47-Konvergensi!$E$455;2);PANGKAT(Normalisasi!$N$47-Konvergensi!$F$455;2);PANGKAT(Normalisasi!$O$47-Konvergensi!$G$455;2);PANGKAT(Normalisasi!$P$47-Konvergensi!$H$455;2)))</f>
        <v/>
      </c>
      <c r="E511">
        <f>AKAR(JUMLAH(PANGKAT(Normalisasi!$J$47-Konvergensi!$B$456;2);PANGKAT(Normalisasi!$K$47-Konvergensi!$C$456;2);PANGKAT(Normalisasi!$L$47-Konvergensi!$D$456;2);PANGKAT(Normalisasi!$M$47-Konvergensi!$E$456;2);PANGKAT(Normalisasi!$N$47-Konvergensi!$F$456;2);PANGKAT(Normalisasi!$O$47-Konvergensi!$G$456;2);PANGKAT(Normalisasi!$P$47-Konvergensi!$H$456;2)))</f>
        <v/>
      </c>
      <c r="F511">
        <f>JIKA(C511&lt;=D511;=JIKA(C511&lt;=E511;0;2);=JIKA(D511&lt;=E511;1;2))</f>
        <v/>
      </c>
      <c r="G511">
        <f>JUMLAH(JIKA(F511=0;JUMLAH(PANGKAT(Normalisasi!$J$47-Konvergensi!$B$519;2);PANGKAT(Normalisasi!$K$47-Konvergensi!$C$519;2);PANGKAT(Normalisasi!$L$47-Konvergensi!$D$519;2);PANGKAT(Normalisasi!$M$47-Konvergensi!$E$519;2);PANGKAT(Normalisasi!$N$47-Konvergensi!$F$519;2);PANGKAT(Normalisasi!$O$47-Konvergensi!$G$519;2);PANGKAT(Normalisasi!$P$47-Konvergensi!$H$519;2));0);JIKA(F511=1;JUMLAH(PANGKAT(Normalisasi!$J$47-Konvergensi!$B$520;2);PANGKAT(Normalisasi!$K$47-Konvergensi!$C$520;2);PANGKAT(Normalisasi!$L$47-Konvergensi!$D$520;2);PANGKAT(Normalisasi!$M$47-Konvergensi!$E$520;2);PANGKAT(Normalisasi!$N$47-Konvergensi!$F$520;2);PANGKAT(Normalisasi!$O$47-Konvergensi!$G$520;2);PANGKAT(Normalisasi!$P$47-Konvergensi!$H$520;2));0);JIKA(F511=2;JUMLAH(PANGKAT(Normalisasi!$J$47-Konvergensi!$B$521;2);PANGKAT(Normalisasi!$K$47-Konvergensi!$C$521;2);PANGKAT(Normalisasi!$L$47-Konvergensi!$D$521;2);PANGKAT(Normalisasi!$M$47-Konvergensi!$E$521;2);PANGKAT(Normalisasi!$N$47-Konvergensi!$F$521;2);PANGKAT(Normalisasi!$O$47-Konvergensi!$G$521;2);PANGKAT(Normalisasi!$P$47-Konvergensi!$H$521;2));0))</f>
        <v/>
      </c>
      <c r="H511" t="n">
        <v>2</v>
      </c>
      <c r="I511" t="n">
        <v>2.722121606503683</v>
      </c>
    </row>
    <row r="512">
      <c r="A512">
        <f>Data_Awal!A48</f>
        <v/>
      </c>
      <c r="B512">
        <f>Data_Awal!B48</f>
        <v/>
      </c>
      <c r="C512">
        <f>AKAR(JUMLAH(PANGKAT(Normalisasi!$J$48-Konvergensi!$B$454;2);PANGKAT(Normalisasi!$K$48-Konvergensi!$C$454;2);PANGKAT(Normalisasi!$L$48-Konvergensi!$D$454;2);PANGKAT(Normalisasi!$M$48-Konvergensi!$E$454;2);PANGKAT(Normalisasi!$N$48-Konvergensi!$F$454;2);PANGKAT(Normalisasi!$O$48-Konvergensi!$G$454;2);PANGKAT(Normalisasi!$P$48-Konvergensi!$H$454;2)))</f>
        <v/>
      </c>
      <c r="D512">
        <f>AKAR(JUMLAH(PANGKAT(Normalisasi!$J$48-Konvergensi!$B$455;2);PANGKAT(Normalisasi!$K$48-Konvergensi!$C$455;2);PANGKAT(Normalisasi!$L$48-Konvergensi!$D$455;2);PANGKAT(Normalisasi!$M$48-Konvergensi!$E$455;2);PANGKAT(Normalisasi!$N$48-Konvergensi!$F$455;2);PANGKAT(Normalisasi!$O$48-Konvergensi!$G$455;2);PANGKAT(Normalisasi!$P$48-Konvergensi!$H$455;2)))</f>
        <v/>
      </c>
      <c r="E512">
        <f>AKAR(JUMLAH(PANGKAT(Normalisasi!$J$48-Konvergensi!$B$456;2);PANGKAT(Normalisasi!$K$48-Konvergensi!$C$456;2);PANGKAT(Normalisasi!$L$48-Konvergensi!$D$456;2);PANGKAT(Normalisasi!$M$48-Konvergensi!$E$456;2);PANGKAT(Normalisasi!$N$48-Konvergensi!$F$456;2);PANGKAT(Normalisasi!$O$48-Konvergensi!$G$456;2);PANGKAT(Normalisasi!$P$48-Konvergensi!$H$456;2)))</f>
        <v/>
      </c>
      <c r="F512">
        <f>JIKA(C512&lt;=D512;=JIKA(C512&lt;=E512;0;2);=JIKA(D512&lt;=E512;1;2))</f>
        <v/>
      </c>
      <c r="G512">
        <f>JUMLAH(JIKA(F512=0;JUMLAH(PANGKAT(Normalisasi!$J$48-Konvergensi!$B$519;2);PANGKAT(Normalisasi!$K$48-Konvergensi!$C$519;2);PANGKAT(Normalisasi!$L$48-Konvergensi!$D$519;2);PANGKAT(Normalisasi!$M$48-Konvergensi!$E$519;2);PANGKAT(Normalisasi!$N$48-Konvergensi!$F$519;2);PANGKAT(Normalisasi!$O$48-Konvergensi!$G$519;2);PANGKAT(Normalisasi!$P$48-Konvergensi!$H$519;2));0);JIKA(F512=1;JUMLAH(PANGKAT(Normalisasi!$J$48-Konvergensi!$B$520;2);PANGKAT(Normalisasi!$K$48-Konvergensi!$C$520;2);PANGKAT(Normalisasi!$L$48-Konvergensi!$D$520;2);PANGKAT(Normalisasi!$M$48-Konvergensi!$E$520;2);PANGKAT(Normalisasi!$N$48-Konvergensi!$F$520;2);PANGKAT(Normalisasi!$O$48-Konvergensi!$G$520;2);PANGKAT(Normalisasi!$P$48-Konvergensi!$H$520;2));0);JIKA(F512=2;JUMLAH(PANGKAT(Normalisasi!$J$48-Konvergensi!$B$521;2);PANGKAT(Normalisasi!$K$48-Konvergensi!$C$521;2);PANGKAT(Normalisasi!$L$48-Konvergensi!$D$521;2);PANGKAT(Normalisasi!$M$48-Konvergensi!$E$521;2);PANGKAT(Normalisasi!$N$48-Konvergensi!$F$521;2);PANGKAT(Normalisasi!$O$48-Konvergensi!$G$521;2);PANGKAT(Normalisasi!$P$48-Konvergensi!$H$521;2));0))</f>
        <v/>
      </c>
      <c r="H512" t="n">
        <v>1</v>
      </c>
      <c r="I512" t="n">
        <v>2.481879974083219</v>
      </c>
    </row>
    <row r="513">
      <c r="A513">
        <f>Data_Awal!A49</f>
        <v/>
      </c>
      <c r="B513">
        <f>Data_Awal!B49</f>
        <v/>
      </c>
      <c r="C513">
        <f>AKAR(JUMLAH(PANGKAT(Normalisasi!$J$49-Konvergensi!$B$454;2);PANGKAT(Normalisasi!$K$49-Konvergensi!$C$454;2);PANGKAT(Normalisasi!$L$49-Konvergensi!$D$454;2);PANGKAT(Normalisasi!$M$49-Konvergensi!$E$454;2);PANGKAT(Normalisasi!$N$49-Konvergensi!$F$454;2);PANGKAT(Normalisasi!$O$49-Konvergensi!$G$454;2);PANGKAT(Normalisasi!$P$49-Konvergensi!$H$454;2)))</f>
        <v/>
      </c>
      <c r="D513">
        <f>AKAR(JUMLAH(PANGKAT(Normalisasi!$J$49-Konvergensi!$B$455;2);PANGKAT(Normalisasi!$K$49-Konvergensi!$C$455;2);PANGKAT(Normalisasi!$L$49-Konvergensi!$D$455;2);PANGKAT(Normalisasi!$M$49-Konvergensi!$E$455;2);PANGKAT(Normalisasi!$N$49-Konvergensi!$F$455;2);PANGKAT(Normalisasi!$O$49-Konvergensi!$G$455;2);PANGKAT(Normalisasi!$P$49-Konvergensi!$H$455;2)))</f>
        <v/>
      </c>
      <c r="E513">
        <f>AKAR(JUMLAH(PANGKAT(Normalisasi!$J$49-Konvergensi!$B$456;2);PANGKAT(Normalisasi!$K$49-Konvergensi!$C$456;2);PANGKAT(Normalisasi!$L$49-Konvergensi!$D$456;2);PANGKAT(Normalisasi!$M$49-Konvergensi!$E$456;2);PANGKAT(Normalisasi!$N$49-Konvergensi!$F$456;2);PANGKAT(Normalisasi!$O$49-Konvergensi!$G$456;2);PANGKAT(Normalisasi!$P$49-Konvergensi!$H$456;2)))</f>
        <v/>
      </c>
      <c r="F513">
        <f>JIKA(C513&lt;=D513;=JIKA(C513&lt;=E513;0;2);=JIKA(D513&lt;=E513;1;2))</f>
        <v/>
      </c>
      <c r="G513">
        <f>JUMLAH(JIKA(F513=0;JUMLAH(PANGKAT(Normalisasi!$J$49-Konvergensi!$B$519;2);PANGKAT(Normalisasi!$K$49-Konvergensi!$C$519;2);PANGKAT(Normalisasi!$L$49-Konvergensi!$D$519;2);PANGKAT(Normalisasi!$M$49-Konvergensi!$E$519;2);PANGKAT(Normalisasi!$N$49-Konvergensi!$F$519;2);PANGKAT(Normalisasi!$O$49-Konvergensi!$G$519;2);PANGKAT(Normalisasi!$P$49-Konvergensi!$H$519;2));0);JIKA(F513=1;JUMLAH(PANGKAT(Normalisasi!$J$49-Konvergensi!$B$520;2);PANGKAT(Normalisasi!$K$49-Konvergensi!$C$520;2);PANGKAT(Normalisasi!$L$49-Konvergensi!$D$520;2);PANGKAT(Normalisasi!$M$49-Konvergensi!$E$520;2);PANGKAT(Normalisasi!$N$49-Konvergensi!$F$520;2);PANGKAT(Normalisasi!$O$49-Konvergensi!$G$520;2);PANGKAT(Normalisasi!$P$49-Konvergensi!$H$520;2));0);JIKA(F513=2;JUMLAH(PANGKAT(Normalisasi!$J$49-Konvergensi!$B$521;2);PANGKAT(Normalisasi!$K$49-Konvergensi!$C$521;2);PANGKAT(Normalisasi!$L$49-Konvergensi!$D$521;2);PANGKAT(Normalisasi!$M$49-Konvergensi!$E$521;2);PANGKAT(Normalisasi!$N$49-Konvergensi!$F$521;2);PANGKAT(Normalisasi!$O$49-Konvergensi!$G$521;2);PANGKAT(Normalisasi!$P$49-Konvergensi!$H$521;2));0))</f>
        <v/>
      </c>
      <c r="H513" t="n">
        <v>0</v>
      </c>
      <c r="I513" t="n">
        <v>2.281462811595551</v>
      </c>
    </row>
    <row r="514">
      <c r="A514">
        <f>Data_Awal!A50</f>
        <v/>
      </c>
      <c r="B514">
        <f>Data_Awal!B50</f>
        <v/>
      </c>
      <c r="C514">
        <f>AKAR(JUMLAH(PANGKAT(Normalisasi!$J$50-Konvergensi!$B$454;2);PANGKAT(Normalisasi!$K$50-Konvergensi!$C$454;2);PANGKAT(Normalisasi!$L$50-Konvergensi!$D$454;2);PANGKAT(Normalisasi!$M$50-Konvergensi!$E$454;2);PANGKAT(Normalisasi!$N$50-Konvergensi!$F$454;2);PANGKAT(Normalisasi!$O$50-Konvergensi!$G$454;2);PANGKAT(Normalisasi!$P$50-Konvergensi!$H$454;2)))</f>
        <v/>
      </c>
      <c r="D514">
        <f>AKAR(JUMLAH(PANGKAT(Normalisasi!$J$50-Konvergensi!$B$455;2);PANGKAT(Normalisasi!$K$50-Konvergensi!$C$455;2);PANGKAT(Normalisasi!$L$50-Konvergensi!$D$455;2);PANGKAT(Normalisasi!$M$50-Konvergensi!$E$455;2);PANGKAT(Normalisasi!$N$50-Konvergensi!$F$455;2);PANGKAT(Normalisasi!$O$50-Konvergensi!$G$455;2);PANGKAT(Normalisasi!$P$50-Konvergensi!$H$455;2)))</f>
        <v/>
      </c>
      <c r="E514">
        <f>AKAR(JUMLAH(PANGKAT(Normalisasi!$J$50-Konvergensi!$B$456;2);PANGKAT(Normalisasi!$K$50-Konvergensi!$C$456;2);PANGKAT(Normalisasi!$L$50-Konvergensi!$D$456;2);PANGKAT(Normalisasi!$M$50-Konvergensi!$E$456;2);PANGKAT(Normalisasi!$N$50-Konvergensi!$F$456;2);PANGKAT(Normalisasi!$O$50-Konvergensi!$G$456;2);PANGKAT(Normalisasi!$P$50-Konvergensi!$H$456;2)))</f>
        <v/>
      </c>
      <c r="F514">
        <f>JIKA(C514&lt;=D514;=JIKA(C514&lt;=E514;0;2);=JIKA(D514&lt;=E514;1;2))</f>
        <v/>
      </c>
      <c r="G514">
        <f>JUMLAH(JIKA(F514=0;JUMLAH(PANGKAT(Normalisasi!$J$50-Konvergensi!$B$519;2);PANGKAT(Normalisasi!$K$50-Konvergensi!$C$519;2);PANGKAT(Normalisasi!$L$50-Konvergensi!$D$519;2);PANGKAT(Normalisasi!$M$50-Konvergensi!$E$519;2);PANGKAT(Normalisasi!$N$50-Konvergensi!$F$519;2);PANGKAT(Normalisasi!$O$50-Konvergensi!$G$519;2);PANGKAT(Normalisasi!$P$50-Konvergensi!$H$519;2));0);JIKA(F514=1;JUMLAH(PANGKAT(Normalisasi!$J$50-Konvergensi!$B$520;2);PANGKAT(Normalisasi!$K$50-Konvergensi!$C$520;2);PANGKAT(Normalisasi!$L$50-Konvergensi!$D$520;2);PANGKAT(Normalisasi!$M$50-Konvergensi!$E$520;2);PANGKAT(Normalisasi!$N$50-Konvergensi!$F$520;2);PANGKAT(Normalisasi!$O$50-Konvergensi!$G$520;2);PANGKAT(Normalisasi!$P$50-Konvergensi!$H$520;2));0);JIKA(F514=2;JUMLAH(PANGKAT(Normalisasi!$J$50-Konvergensi!$B$521;2);PANGKAT(Normalisasi!$K$50-Konvergensi!$C$521;2);PANGKAT(Normalisasi!$L$50-Konvergensi!$D$521;2);PANGKAT(Normalisasi!$M$50-Konvergensi!$E$521;2);PANGKAT(Normalisasi!$N$50-Konvergensi!$F$521;2);PANGKAT(Normalisasi!$O$50-Konvergensi!$G$521;2);PANGKAT(Normalisasi!$P$50-Konvergensi!$H$521;2));0))</f>
        <v/>
      </c>
      <c r="H514" t="n">
        <v>0</v>
      </c>
      <c r="I514" t="n">
        <v>3.653291661267997</v>
      </c>
    </row>
    <row r="515">
      <c r="A515">
        <f>Data_Awal!A51</f>
        <v/>
      </c>
      <c r="B515">
        <f>Data_Awal!B51</f>
        <v/>
      </c>
      <c r="C515">
        <f>AKAR(JUMLAH(PANGKAT(Normalisasi!$J$51-Konvergensi!$B$454;2);PANGKAT(Normalisasi!$K$51-Konvergensi!$C$454;2);PANGKAT(Normalisasi!$L$51-Konvergensi!$D$454;2);PANGKAT(Normalisasi!$M$51-Konvergensi!$E$454;2);PANGKAT(Normalisasi!$N$51-Konvergensi!$F$454;2);PANGKAT(Normalisasi!$O$51-Konvergensi!$G$454;2);PANGKAT(Normalisasi!$P$51-Konvergensi!$H$454;2)))</f>
        <v/>
      </c>
      <c r="D515">
        <f>AKAR(JUMLAH(PANGKAT(Normalisasi!$J$51-Konvergensi!$B$455;2);PANGKAT(Normalisasi!$K$51-Konvergensi!$C$455;2);PANGKAT(Normalisasi!$L$51-Konvergensi!$D$455;2);PANGKAT(Normalisasi!$M$51-Konvergensi!$E$455;2);PANGKAT(Normalisasi!$N$51-Konvergensi!$F$455;2);PANGKAT(Normalisasi!$O$51-Konvergensi!$G$455;2);PANGKAT(Normalisasi!$P$51-Konvergensi!$H$455;2)))</f>
        <v/>
      </c>
      <c r="E515">
        <f>AKAR(JUMLAH(PANGKAT(Normalisasi!$J$51-Konvergensi!$B$456;2);PANGKAT(Normalisasi!$K$51-Konvergensi!$C$456;2);PANGKAT(Normalisasi!$L$51-Konvergensi!$D$456;2);PANGKAT(Normalisasi!$M$51-Konvergensi!$E$456;2);PANGKAT(Normalisasi!$N$51-Konvergensi!$F$456;2);PANGKAT(Normalisasi!$O$51-Konvergensi!$G$456;2);PANGKAT(Normalisasi!$P$51-Konvergensi!$H$456;2)))</f>
        <v/>
      </c>
      <c r="F515">
        <f>JIKA(C515&lt;=D515;=JIKA(C515&lt;=E515;0;2);=JIKA(D515&lt;=E515;1;2))</f>
        <v/>
      </c>
      <c r="G515">
        <f>JUMLAH(JIKA(F515=0;JUMLAH(PANGKAT(Normalisasi!$J$51-Konvergensi!$B$519;2);PANGKAT(Normalisasi!$K$51-Konvergensi!$C$519;2);PANGKAT(Normalisasi!$L$51-Konvergensi!$D$519;2);PANGKAT(Normalisasi!$M$51-Konvergensi!$E$519;2);PANGKAT(Normalisasi!$N$51-Konvergensi!$F$519;2);PANGKAT(Normalisasi!$O$51-Konvergensi!$G$519;2);PANGKAT(Normalisasi!$P$51-Konvergensi!$H$519;2));0);JIKA(F515=1;JUMLAH(PANGKAT(Normalisasi!$J$51-Konvergensi!$B$520;2);PANGKAT(Normalisasi!$K$51-Konvergensi!$C$520;2);PANGKAT(Normalisasi!$L$51-Konvergensi!$D$520;2);PANGKAT(Normalisasi!$M$51-Konvergensi!$E$520;2);PANGKAT(Normalisasi!$N$51-Konvergensi!$F$520;2);PANGKAT(Normalisasi!$O$51-Konvergensi!$G$520;2);PANGKAT(Normalisasi!$P$51-Konvergensi!$H$520;2));0);JIKA(F515=2;JUMLAH(PANGKAT(Normalisasi!$J$51-Konvergensi!$B$521;2);PANGKAT(Normalisasi!$K$51-Konvergensi!$C$521;2);PANGKAT(Normalisasi!$L$51-Konvergensi!$D$521;2);PANGKAT(Normalisasi!$M$51-Konvergensi!$E$521;2);PANGKAT(Normalisasi!$N$51-Konvergensi!$F$521;2);PANGKAT(Normalisasi!$O$51-Konvergensi!$G$521;2);PANGKAT(Normalisasi!$P$51-Konvergensi!$H$521;2));0))</f>
        <v/>
      </c>
      <c r="H515" t="n">
        <v>2</v>
      </c>
      <c r="I515" t="n">
        <v>2.272696528655851</v>
      </c>
    </row>
    <row r="517">
      <c r="A517" s="4" t="inlineStr">
        <is>
          <t>Centroid baru setelah iter 8</t>
        </is>
      </c>
    </row>
    <row r="518">
      <c r="A518" t="inlineStr">
        <is>
          <t>Cluster</t>
        </is>
      </c>
      <c r="B518" s="1" t="inlineStr">
        <is>
          <t>Z Latitude</t>
        </is>
      </c>
      <c r="C518" s="1" t="inlineStr">
        <is>
          <t>Z Longitude</t>
        </is>
      </c>
      <c r="D518" s="1" t="inlineStr">
        <is>
          <t>Z Semantic Score</t>
        </is>
      </c>
      <c r="E518" s="1" t="inlineStr">
        <is>
          <t>Z Jarak Hotel (m)</t>
        </is>
      </c>
      <c r="F518" s="1" t="inlineStr">
        <is>
          <t>Z Jarak Halte (m)</t>
        </is>
      </c>
      <c r="G518" s="1" t="inlineStr">
        <is>
          <t>Z Restoran 500m</t>
        </is>
      </c>
      <c r="H518" s="1" t="inlineStr">
        <is>
          <t>Z Minimarket 500m</t>
        </is>
      </c>
    </row>
    <row r="519">
      <c r="A519" t="inlineStr">
        <is>
          <t>C0</t>
        </is>
      </c>
      <c r="B519">
        <f>RATA.RATA.JIKA($F$466:$F$515;0;Normalisasi!$J$2:$J$51)</f>
        <v/>
      </c>
      <c r="C519">
        <f>RATA.RATA.JIKA($F$466:$F$515;0;Normalisasi!$K$2:$K$51)</f>
        <v/>
      </c>
      <c r="D519">
        <f>RATA.RATA.JIKA($F$466:$F$515;0;Normalisasi!$L$2:$L$51)</f>
        <v/>
      </c>
      <c r="E519">
        <f>RATA.RATA.JIKA($F$466:$F$515;0;Normalisasi!$M$2:$M$51)</f>
        <v/>
      </c>
      <c r="F519">
        <f>RATA.RATA.JIKA($F$466:$F$515;0;Normalisasi!$N$2:$N$51)</f>
        <v/>
      </c>
      <c r="G519">
        <f>RATA.RATA.JIKA($F$466:$F$515;0;Normalisasi!$O$2:$O$51)</f>
        <v/>
      </c>
      <c r="H519">
        <f>RATA.RATA.JIKA($F$466:$F$515;0;Normalisasi!$P$2:$P$51)</f>
        <v/>
      </c>
      <c r="J519" t="n">
        <v>-0.3983472513709371</v>
      </c>
      <c r="K519" t="n">
        <v>-0.0171938359203694</v>
      </c>
      <c r="L519" t="n">
        <v>-0.4097158247562748</v>
      </c>
      <c r="M519" t="n">
        <v>-0.4139481636862808</v>
      </c>
      <c r="N519" t="n">
        <v>-0.5778666615614827</v>
      </c>
      <c r="O519" t="n">
        <v>-0.641515436799735</v>
      </c>
      <c r="P519" t="n">
        <v>0.1138506530891799</v>
      </c>
    </row>
    <row r="520">
      <c r="A520" t="inlineStr">
        <is>
          <t>C1</t>
        </is>
      </c>
      <c r="B520">
        <f>RATA.RATA.JIKA($F$466:$F$515;1;Normalisasi!$J$2:$J$51)</f>
        <v/>
      </c>
      <c r="C520">
        <f>RATA.RATA.JIKA($F$466:$F$515;1;Normalisasi!$K$2:$K$51)</f>
        <v/>
      </c>
      <c r="D520">
        <f>RATA.RATA.JIKA($F$466:$F$515;1;Normalisasi!$L$2:$L$51)</f>
        <v/>
      </c>
      <c r="E520">
        <f>RATA.RATA.JIKA($F$466:$F$515;1;Normalisasi!$M$2:$M$51)</f>
        <v/>
      </c>
      <c r="F520">
        <f>RATA.RATA.JIKA($F$466:$F$515;1;Normalisasi!$N$2:$N$51)</f>
        <v/>
      </c>
      <c r="G520">
        <f>RATA.RATA.JIKA($F$466:$F$515;1;Normalisasi!$O$2:$O$51)</f>
        <v/>
      </c>
      <c r="H520">
        <f>RATA.RATA.JIKA($F$466:$F$515;1;Normalisasi!$P$2:$P$51)</f>
        <v/>
      </c>
      <c r="J520" t="n">
        <v>-0.2130554528799716</v>
      </c>
      <c r="K520" t="n">
        <v>0.1131244561175998</v>
      </c>
      <c r="L520" t="n">
        <v>0.3407250115346307</v>
      </c>
      <c r="M520" t="n">
        <v>0.4655491846085689</v>
      </c>
      <c r="N520" t="n">
        <v>1.070404003170514</v>
      </c>
      <c r="O520" t="n">
        <v>0.3409213405072328</v>
      </c>
      <c r="P520" t="n">
        <v>-0.7153653834791738</v>
      </c>
    </row>
    <row r="521">
      <c r="A521" t="inlineStr">
        <is>
          <t>C2</t>
        </is>
      </c>
      <c r="B521">
        <f>RATA.RATA.JIKA($F$466:$F$515;2;Normalisasi!$J$2:$J$51)</f>
        <v/>
      </c>
      <c r="C521">
        <f>RATA.RATA.JIKA($F$466:$F$515;2;Normalisasi!$K$2:$K$51)</f>
        <v/>
      </c>
      <c r="D521">
        <f>RATA.RATA.JIKA($F$466:$F$515;2;Normalisasi!$L$2:$L$51)</f>
        <v/>
      </c>
      <c r="E521">
        <f>RATA.RATA.JIKA($F$466:$F$515;2;Normalisasi!$M$2:$M$51)</f>
        <v/>
      </c>
      <c r="F521">
        <f>RATA.RATA.JIKA($F$466:$F$515;2;Normalisasi!$N$2:$N$51)</f>
        <v/>
      </c>
      <c r="G521">
        <f>RATA.RATA.JIKA($F$466:$F$515;2;Normalisasi!$O$2:$O$51)</f>
        <v/>
      </c>
      <c r="H521">
        <f>RATA.RATA.JIKA($F$466:$F$515;2;Normalisasi!$P$2:$P$51)</f>
        <v/>
      </c>
      <c r="J521" t="n">
        <v>1.014377231353388</v>
      </c>
      <c r="K521" t="n">
        <v>-0.1193105756356845</v>
      </c>
      <c r="L521" t="n">
        <v>0.2968456633403269</v>
      </c>
      <c r="M521" t="n">
        <v>0.1381727206134228</v>
      </c>
      <c r="N521" t="n">
        <v>-0.3677831246979691</v>
      </c>
      <c r="O521" t="n">
        <v>0.7215498467898702</v>
      </c>
      <c r="P521" t="n">
        <v>0.7450943139754024</v>
      </c>
    </row>
    <row r="523">
      <c r="A523" t="inlineStr">
        <is>
          <t>Total WCSS (Excel)</t>
        </is>
      </c>
      <c r="B523">
        <f>JUMLAH($G$466:$G$515)</f>
        <v/>
      </c>
    </row>
    <row r="524">
      <c r="A524" t="inlineStr">
        <is>
          <t>Total WCSS (Python)</t>
        </is>
      </c>
      <c r="B524" t="n">
        <v>259.3803579066428</v>
      </c>
    </row>
    <row r="525">
      <c r="A525" t="inlineStr">
        <is>
          <t>Selisih WCSS</t>
        </is>
      </c>
      <c r="B525">
        <f>ABS(B523-B524)</f>
        <v/>
      </c>
    </row>
    <row r="526">
      <c r="A526" t="inlineStr">
        <is>
          <t>Label berubah?</t>
        </is>
      </c>
      <c r="B526">
        <f>JIKA(JUMLAH(JIKA($F$466:$F$515&lt;&gt;$F$466:$F$515;1;0))=0;"Tidak";"Ya")</f>
        <v/>
      </c>
    </row>
    <row r="527">
      <c r="A527" t="inlineStr">
        <is>
          <t>Max shift centroid</t>
        </is>
      </c>
      <c r="B527" t="n">
        <v>0.1384103659209591</v>
      </c>
    </row>
    <row r="529">
      <c r="A529" s="4" t="inlineStr">
        <is>
          <t>ITER 9 — Assignment &amp; Centroid Baru</t>
        </is>
      </c>
    </row>
    <row r="530">
      <c r="A530" s="1" t="inlineStr">
        <is>
          <t>POI ID</t>
        </is>
      </c>
      <c r="B530" s="1" t="inlineStr">
        <is>
          <t>Nama</t>
        </is>
      </c>
      <c r="C530" s="1" t="inlineStr">
        <is>
          <t>d(C0)</t>
        </is>
      </c>
      <c r="D530" s="1" t="inlineStr">
        <is>
          <t>d(C1)</t>
        </is>
      </c>
      <c r="E530" s="1" t="inlineStr">
        <is>
          <t>d(C2)</t>
        </is>
      </c>
      <c r="F530" s="1" t="inlineStr">
        <is>
          <t>Cluster</t>
        </is>
      </c>
      <c r="G530" s="1" t="inlineStr">
        <is>
          <t>WCSS POI</t>
        </is>
      </c>
      <c r="H530" s="1" t="inlineStr">
        <is>
          <t>Py Cluster</t>
        </is>
      </c>
      <c r="I530" s="1" t="inlineStr">
        <is>
          <t>Py WCSS</t>
        </is>
      </c>
    </row>
    <row r="531">
      <c r="A531">
        <f>Data_Awal!A2</f>
        <v/>
      </c>
      <c r="B531">
        <f>Data_Awal!B2</f>
        <v/>
      </c>
      <c r="C531">
        <f>AKAR(JUMLAH(PANGKAT(Normalisasi!$J$2-Konvergensi!$B$519;2);PANGKAT(Normalisasi!$K$2-Konvergensi!$C$519;2);PANGKAT(Normalisasi!$L$2-Konvergensi!$D$519;2);PANGKAT(Normalisasi!$M$2-Konvergensi!$E$519;2);PANGKAT(Normalisasi!$N$2-Konvergensi!$F$519;2);PANGKAT(Normalisasi!$O$2-Konvergensi!$G$519;2);PANGKAT(Normalisasi!$P$2-Konvergensi!$H$519;2)))</f>
        <v/>
      </c>
      <c r="D531">
        <f>AKAR(JUMLAH(PANGKAT(Normalisasi!$J$2-Konvergensi!$B$520;2);PANGKAT(Normalisasi!$K$2-Konvergensi!$C$520;2);PANGKAT(Normalisasi!$L$2-Konvergensi!$D$520;2);PANGKAT(Normalisasi!$M$2-Konvergensi!$E$520;2);PANGKAT(Normalisasi!$N$2-Konvergensi!$F$520;2);PANGKAT(Normalisasi!$O$2-Konvergensi!$G$520;2);PANGKAT(Normalisasi!$P$2-Konvergensi!$H$520;2)))</f>
        <v/>
      </c>
      <c r="E531">
        <f>AKAR(JUMLAH(PANGKAT(Normalisasi!$J$2-Konvergensi!$B$521;2);PANGKAT(Normalisasi!$K$2-Konvergensi!$C$521;2);PANGKAT(Normalisasi!$L$2-Konvergensi!$D$521;2);PANGKAT(Normalisasi!$M$2-Konvergensi!$E$521;2);PANGKAT(Normalisasi!$N$2-Konvergensi!$F$521;2);PANGKAT(Normalisasi!$O$2-Konvergensi!$G$521;2);PANGKAT(Normalisasi!$P$2-Konvergensi!$H$521;2)))</f>
        <v/>
      </c>
      <c r="F531">
        <f>JIKA(C531&lt;=D531;=JIKA(C531&lt;=E531;0;2);=JIKA(D531&lt;=E531;1;2))</f>
        <v/>
      </c>
      <c r="G531">
        <f>JUMLAH(JIKA(F531=0;JUMLAH(PANGKAT(Normalisasi!$J$2-Konvergensi!$B$584;2);PANGKAT(Normalisasi!$K$2-Konvergensi!$C$584;2);PANGKAT(Normalisasi!$L$2-Konvergensi!$D$584;2);PANGKAT(Normalisasi!$M$2-Konvergensi!$E$584;2);PANGKAT(Normalisasi!$N$2-Konvergensi!$F$584;2);PANGKAT(Normalisasi!$O$2-Konvergensi!$G$584;2);PANGKAT(Normalisasi!$P$2-Konvergensi!$H$584;2));0);JIKA(F531=1;JUMLAH(PANGKAT(Normalisasi!$J$2-Konvergensi!$B$585;2);PANGKAT(Normalisasi!$K$2-Konvergensi!$C$585;2);PANGKAT(Normalisasi!$L$2-Konvergensi!$D$585;2);PANGKAT(Normalisasi!$M$2-Konvergensi!$E$585;2);PANGKAT(Normalisasi!$N$2-Konvergensi!$F$585;2);PANGKAT(Normalisasi!$O$2-Konvergensi!$G$585;2);PANGKAT(Normalisasi!$P$2-Konvergensi!$H$585;2));0);JIKA(F531=2;JUMLAH(PANGKAT(Normalisasi!$J$2-Konvergensi!$B$586;2);PANGKAT(Normalisasi!$K$2-Konvergensi!$C$586;2);PANGKAT(Normalisasi!$L$2-Konvergensi!$D$586;2);PANGKAT(Normalisasi!$M$2-Konvergensi!$E$586;2);PANGKAT(Normalisasi!$N$2-Konvergensi!$F$586;2);PANGKAT(Normalisasi!$O$2-Konvergensi!$G$586;2);PANGKAT(Normalisasi!$P$2-Konvergensi!$H$586;2));0))</f>
        <v/>
      </c>
      <c r="H531" t="n">
        <v>2</v>
      </c>
      <c r="I531" t="n">
        <v>6.002647823512075</v>
      </c>
    </row>
    <row r="532">
      <c r="A532">
        <f>Data_Awal!A3</f>
        <v/>
      </c>
      <c r="B532">
        <f>Data_Awal!B3</f>
        <v/>
      </c>
      <c r="C532">
        <f>AKAR(JUMLAH(PANGKAT(Normalisasi!$J$3-Konvergensi!$B$519;2);PANGKAT(Normalisasi!$K$3-Konvergensi!$C$519;2);PANGKAT(Normalisasi!$L$3-Konvergensi!$D$519;2);PANGKAT(Normalisasi!$M$3-Konvergensi!$E$519;2);PANGKAT(Normalisasi!$N$3-Konvergensi!$F$519;2);PANGKAT(Normalisasi!$O$3-Konvergensi!$G$519;2);PANGKAT(Normalisasi!$P$3-Konvergensi!$H$519;2)))</f>
        <v/>
      </c>
      <c r="D532">
        <f>AKAR(JUMLAH(PANGKAT(Normalisasi!$J$3-Konvergensi!$B$520;2);PANGKAT(Normalisasi!$K$3-Konvergensi!$C$520;2);PANGKAT(Normalisasi!$L$3-Konvergensi!$D$520;2);PANGKAT(Normalisasi!$M$3-Konvergensi!$E$520;2);PANGKAT(Normalisasi!$N$3-Konvergensi!$F$520;2);PANGKAT(Normalisasi!$O$3-Konvergensi!$G$520;2);PANGKAT(Normalisasi!$P$3-Konvergensi!$H$520;2)))</f>
        <v/>
      </c>
      <c r="E532">
        <f>AKAR(JUMLAH(PANGKAT(Normalisasi!$J$3-Konvergensi!$B$521;2);PANGKAT(Normalisasi!$K$3-Konvergensi!$C$521;2);PANGKAT(Normalisasi!$L$3-Konvergensi!$D$521;2);PANGKAT(Normalisasi!$M$3-Konvergensi!$E$521;2);PANGKAT(Normalisasi!$N$3-Konvergensi!$F$521;2);PANGKAT(Normalisasi!$O$3-Konvergensi!$G$521;2);PANGKAT(Normalisasi!$P$3-Konvergensi!$H$521;2)))</f>
        <v/>
      </c>
      <c r="F532">
        <f>JIKA(C532&lt;=D532;=JIKA(C532&lt;=E532;0;2);=JIKA(D532&lt;=E532;1;2))</f>
        <v/>
      </c>
      <c r="G532">
        <f>JUMLAH(JIKA(F532=0;JUMLAH(PANGKAT(Normalisasi!$J$3-Konvergensi!$B$584;2);PANGKAT(Normalisasi!$K$3-Konvergensi!$C$584;2);PANGKAT(Normalisasi!$L$3-Konvergensi!$D$584;2);PANGKAT(Normalisasi!$M$3-Konvergensi!$E$584;2);PANGKAT(Normalisasi!$N$3-Konvergensi!$F$584;2);PANGKAT(Normalisasi!$O$3-Konvergensi!$G$584;2);PANGKAT(Normalisasi!$P$3-Konvergensi!$H$584;2));0);JIKA(F532=1;JUMLAH(PANGKAT(Normalisasi!$J$3-Konvergensi!$B$585;2);PANGKAT(Normalisasi!$K$3-Konvergensi!$C$585;2);PANGKAT(Normalisasi!$L$3-Konvergensi!$D$585;2);PANGKAT(Normalisasi!$M$3-Konvergensi!$E$585;2);PANGKAT(Normalisasi!$N$3-Konvergensi!$F$585;2);PANGKAT(Normalisasi!$O$3-Konvergensi!$G$585;2);PANGKAT(Normalisasi!$P$3-Konvergensi!$H$585;2));0);JIKA(F532=2;JUMLAH(PANGKAT(Normalisasi!$J$3-Konvergensi!$B$586;2);PANGKAT(Normalisasi!$K$3-Konvergensi!$C$586;2);PANGKAT(Normalisasi!$L$3-Konvergensi!$D$586;2);PANGKAT(Normalisasi!$M$3-Konvergensi!$E$586;2);PANGKAT(Normalisasi!$N$3-Konvergensi!$F$586;2);PANGKAT(Normalisasi!$O$3-Konvergensi!$G$586;2);PANGKAT(Normalisasi!$P$3-Konvergensi!$H$586;2));0))</f>
        <v/>
      </c>
      <c r="H532" t="n">
        <v>1</v>
      </c>
      <c r="I532" t="n">
        <v>6.219456093813692</v>
      </c>
    </row>
    <row r="533">
      <c r="A533">
        <f>Data_Awal!A4</f>
        <v/>
      </c>
      <c r="B533">
        <f>Data_Awal!B4</f>
        <v/>
      </c>
      <c r="C533">
        <f>AKAR(JUMLAH(PANGKAT(Normalisasi!$J$4-Konvergensi!$B$519;2);PANGKAT(Normalisasi!$K$4-Konvergensi!$C$519;2);PANGKAT(Normalisasi!$L$4-Konvergensi!$D$519;2);PANGKAT(Normalisasi!$M$4-Konvergensi!$E$519;2);PANGKAT(Normalisasi!$N$4-Konvergensi!$F$519;2);PANGKAT(Normalisasi!$O$4-Konvergensi!$G$519;2);PANGKAT(Normalisasi!$P$4-Konvergensi!$H$519;2)))</f>
        <v/>
      </c>
      <c r="D533">
        <f>AKAR(JUMLAH(PANGKAT(Normalisasi!$J$4-Konvergensi!$B$520;2);PANGKAT(Normalisasi!$K$4-Konvergensi!$C$520;2);PANGKAT(Normalisasi!$L$4-Konvergensi!$D$520;2);PANGKAT(Normalisasi!$M$4-Konvergensi!$E$520;2);PANGKAT(Normalisasi!$N$4-Konvergensi!$F$520;2);PANGKAT(Normalisasi!$O$4-Konvergensi!$G$520;2);PANGKAT(Normalisasi!$P$4-Konvergensi!$H$520;2)))</f>
        <v/>
      </c>
      <c r="E533">
        <f>AKAR(JUMLAH(PANGKAT(Normalisasi!$J$4-Konvergensi!$B$521;2);PANGKAT(Normalisasi!$K$4-Konvergensi!$C$521;2);PANGKAT(Normalisasi!$L$4-Konvergensi!$D$521;2);PANGKAT(Normalisasi!$M$4-Konvergensi!$E$521;2);PANGKAT(Normalisasi!$N$4-Konvergensi!$F$521;2);PANGKAT(Normalisasi!$O$4-Konvergensi!$G$521;2);PANGKAT(Normalisasi!$P$4-Konvergensi!$H$521;2)))</f>
        <v/>
      </c>
      <c r="F533">
        <f>JIKA(C533&lt;=D533;=JIKA(C533&lt;=E533;0;2);=JIKA(D533&lt;=E533;1;2))</f>
        <v/>
      </c>
      <c r="G533">
        <f>JUMLAH(JIKA(F533=0;JUMLAH(PANGKAT(Normalisasi!$J$4-Konvergensi!$B$584;2);PANGKAT(Normalisasi!$K$4-Konvergensi!$C$584;2);PANGKAT(Normalisasi!$L$4-Konvergensi!$D$584;2);PANGKAT(Normalisasi!$M$4-Konvergensi!$E$584;2);PANGKAT(Normalisasi!$N$4-Konvergensi!$F$584;2);PANGKAT(Normalisasi!$O$4-Konvergensi!$G$584;2);PANGKAT(Normalisasi!$P$4-Konvergensi!$H$584;2));0);JIKA(F533=1;JUMLAH(PANGKAT(Normalisasi!$J$4-Konvergensi!$B$585;2);PANGKAT(Normalisasi!$K$4-Konvergensi!$C$585;2);PANGKAT(Normalisasi!$L$4-Konvergensi!$D$585;2);PANGKAT(Normalisasi!$M$4-Konvergensi!$E$585;2);PANGKAT(Normalisasi!$N$4-Konvergensi!$F$585;2);PANGKAT(Normalisasi!$O$4-Konvergensi!$G$585;2);PANGKAT(Normalisasi!$P$4-Konvergensi!$H$585;2));0);JIKA(F533=2;JUMLAH(PANGKAT(Normalisasi!$J$4-Konvergensi!$B$586;2);PANGKAT(Normalisasi!$K$4-Konvergensi!$C$586;2);PANGKAT(Normalisasi!$L$4-Konvergensi!$D$586;2);PANGKAT(Normalisasi!$M$4-Konvergensi!$E$586;2);PANGKAT(Normalisasi!$N$4-Konvergensi!$F$586;2);PANGKAT(Normalisasi!$O$4-Konvergensi!$G$586;2);PANGKAT(Normalisasi!$P$4-Konvergensi!$H$586;2));0))</f>
        <v/>
      </c>
      <c r="H533" t="n">
        <v>1</v>
      </c>
      <c r="I533" t="n">
        <v>5.986214447050536</v>
      </c>
    </row>
    <row r="534">
      <c r="A534">
        <f>Data_Awal!A5</f>
        <v/>
      </c>
      <c r="B534">
        <f>Data_Awal!B5</f>
        <v/>
      </c>
      <c r="C534">
        <f>AKAR(JUMLAH(PANGKAT(Normalisasi!$J$5-Konvergensi!$B$519;2);PANGKAT(Normalisasi!$K$5-Konvergensi!$C$519;2);PANGKAT(Normalisasi!$L$5-Konvergensi!$D$519;2);PANGKAT(Normalisasi!$M$5-Konvergensi!$E$519;2);PANGKAT(Normalisasi!$N$5-Konvergensi!$F$519;2);PANGKAT(Normalisasi!$O$5-Konvergensi!$G$519;2);PANGKAT(Normalisasi!$P$5-Konvergensi!$H$519;2)))</f>
        <v/>
      </c>
      <c r="D534">
        <f>AKAR(JUMLAH(PANGKAT(Normalisasi!$J$5-Konvergensi!$B$520;2);PANGKAT(Normalisasi!$K$5-Konvergensi!$C$520;2);PANGKAT(Normalisasi!$L$5-Konvergensi!$D$520;2);PANGKAT(Normalisasi!$M$5-Konvergensi!$E$520;2);PANGKAT(Normalisasi!$N$5-Konvergensi!$F$520;2);PANGKAT(Normalisasi!$O$5-Konvergensi!$G$520;2);PANGKAT(Normalisasi!$P$5-Konvergensi!$H$520;2)))</f>
        <v/>
      </c>
      <c r="E534">
        <f>AKAR(JUMLAH(PANGKAT(Normalisasi!$J$5-Konvergensi!$B$521;2);PANGKAT(Normalisasi!$K$5-Konvergensi!$C$521;2);PANGKAT(Normalisasi!$L$5-Konvergensi!$D$521;2);PANGKAT(Normalisasi!$M$5-Konvergensi!$E$521;2);PANGKAT(Normalisasi!$N$5-Konvergensi!$F$521;2);PANGKAT(Normalisasi!$O$5-Konvergensi!$G$521;2);PANGKAT(Normalisasi!$P$5-Konvergensi!$H$521;2)))</f>
        <v/>
      </c>
      <c r="F534">
        <f>JIKA(C534&lt;=D534;=JIKA(C534&lt;=E534;0;2);=JIKA(D534&lt;=E534;1;2))</f>
        <v/>
      </c>
      <c r="G534">
        <f>JUMLAH(JIKA(F534=0;JUMLAH(PANGKAT(Normalisasi!$J$5-Konvergensi!$B$584;2);PANGKAT(Normalisasi!$K$5-Konvergensi!$C$584;2);PANGKAT(Normalisasi!$L$5-Konvergensi!$D$584;2);PANGKAT(Normalisasi!$M$5-Konvergensi!$E$584;2);PANGKAT(Normalisasi!$N$5-Konvergensi!$F$584;2);PANGKAT(Normalisasi!$O$5-Konvergensi!$G$584;2);PANGKAT(Normalisasi!$P$5-Konvergensi!$H$584;2));0);JIKA(F534=1;JUMLAH(PANGKAT(Normalisasi!$J$5-Konvergensi!$B$585;2);PANGKAT(Normalisasi!$K$5-Konvergensi!$C$585;2);PANGKAT(Normalisasi!$L$5-Konvergensi!$D$585;2);PANGKAT(Normalisasi!$M$5-Konvergensi!$E$585;2);PANGKAT(Normalisasi!$N$5-Konvergensi!$F$585;2);PANGKAT(Normalisasi!$O$5-Konvergensi!$G$585;2);PANGKAT(Normalisasi!$P$5-Konvergensi!$H$585;2));0);JIKA(F534=2;JUMLAH(PANGKAT(Normalisasi!$J$5-Konvergensi!$B$586;2);PANGKAT(Normalisasi!$K$5-Konvergensi!$C$586;2);PANGKAT(Normalisasi!$L$5-Konvergensi!$D$586;2);PANGKAT(Normalisasi!$M$5-Konvergensi!$E$586;2);PANGKAT(Normalisasi!$N$5-Konvergensi!$F$586;2);PANGKAT(Normalisasi!$O$5-Konvergensi!$G$586;2);PANGKAT(Normalisasi!$P$5-Konvergensi!$H$586;2));0))</f>
        <v/>
      </c>
      <c r="H534" t="n">
        <v>0</v>
      </c>
      <c r="I534" t="n">
        <v>5.921939184896337</v>
      </c>
    </row>
    <row r="535">
      <c r="A535">
        <f>Data_Awal!A6</f>
        <v/>
      </c>
      <c r="B535">
        <f>Data_Awal!B6</f>
        <v/>
      </c>
      <c r="C535">
        <f>AKAR(JUMLAH(PANGKAT(Normalisasi!$J$6-Konvergensi!$B$519;2);PANGKAT(Normalisasi!$K$6-Konvergensi!$C$519;2);PANGKAT(Normalisasi!$L$6-Konvergensi!$D$519;2);PANGKAT(Normalisasi!$M$6-Konvergensi!$E$519;2);PANGKAT(Normalisasi!$N$6-Konvergensi!$F$519;2);PANGKAT(Normalisasi!$O$6-Konvergensi!$G$519;2);PANGKAT(Normalisasi!$P$6-Konvergensi!$H$519;2)))</f>
        <v/>
      </c>
      <c r="D535">
        <f>AKAR(JUMLAH(PANGKAT(Normalisasi!$J$6-Konvergensi!$B$520;2);PANGKAT(Normalisasi!$K$6-Konvergensi!$C$520;2);PANGKAT(Normalisasi!$L$6-Konvergensi!$D$520;2);PANGKAT(Normalisasi!$M$6-Konvergensi!$E$520;2);PANGKAT(Normalisasi!$N$6-Konvergensi!$F$520;2);PANGKAT(Normalisasi!$O$6-Konvergensi!$G$520;2);PANGKAT(Normalisasi!$P$6-Konvergensi!$H$520;2)))</f>
        <v/>
      </c>
      <c r="E535">
        <f>AKAR(JUMLAH(PANGKAT(Normalisasi!$J$6-Konvergensi!$B$521;2);PANGKAT(Normalisasi!$K$6-Konvergensi!$C$521;2);PANGKAT(Normalisasi!$L$6-Konvergensi!$D$521;2);PANGKAT(Normalisasi!$M$6-Konvergensi!$E$521;2);PANGKAT(Normalisasi!$N$6-Konvergensi!$F$521;2);PANGKAT(Normalisasi!$O$6-Konvergensi!$G$521;2);PANGKAT(Normalisasi!$P$6-Konvergensi!$H$521;2)))</f>
        <v/>
      </c>
      <c r="F535">
        <f>JIKA(C535&lt;=D535;=JIKA(C535&lt;=E535;0;2);=JIKA(D535&lt;=E535;1;2))</f>
        <v/>
      </c>
      <c r="G535">
        <f>JUMLAH(JIKA(F535=0;JUMLAH(PANGKAT(Normalisasi!$J$6-Konvergensi!$B$584;2);PANGKAT(Normalisasi!$K$6-Konvergensi!$C$584;2);PANGKAT(Normalisasi!$L$6-Konvergensi!$D$584;2);PANGKAT(Normalisasi!$M$6-Konvergensi!$E$584;2);PANGKAT(Normalisasi!$N$6-Konvergensi!$F$584;2);PANGKAT(Normalisasi!$O$6-Konvergensi!$G$584;2);PANGKAT(Normalisasi!$P$6-Konvergensi!$H$584;2));0);JIKA(F535=1;JUMLAH(PANGKAT(Normalisasi!$J$6-Konvergensi!$B$585;2);PANGKAT(Normalisasi!$K$6-Konvergensi!$C$585;2);PANGKAT(Normalisasi!$L$6-Konvergensi!$D$585;2);PANGKAT(Normalisasi!$M$6-Konvergensi!$E$585;2);PANGKAT(Normalisasi!$N$6-Konvergensi!$F$585;2);PANGKAT(Normalisasi!$O$6-Konvergensi!$G$585;2);PANGKAT(Normalisasi!$P$6-Konvergensi!$H$585;2));0);JIKA(F535=2;JUMLAH(PANGKAT(Normalisasi!$J$6-Konvergensi!$B$586;2);PANGKAT(Normalisasi!$K$6-Konvergensi!$C$586;2);PANGKAT(Normalisasi!$L$6-Konvergensi!$D$586;2);PANGKAT(Normalisasi!$M$6-Konvergensi!$E$586;2);PANGKAT(Normalisasi!$N$6-Konvergensi!$F$586;2);PANGKAT(Normalisasi!$O$6-Konvergensi!$G$586;2);PANGKAT(Normalisasi!$P$6-Konvergensi!$H$586;2));0))</f>
        <v/>
      </c>
      <c r="H535" t="n">
        <v>0</v>
      </c>
      <c r="I535" t="n">
        <v>5.562579239354995</v>
      </c>
    </row>
    <row r="536">
      <c r="A536">
        <f>Data_Awal!A7</f>
        <v/>
      </c>
      <c r="B536">
        <f>Data_Awal!B7</f>
        <v/>
      </c>
      <c r="C536">
        <f>AKAR(JUMLAH(PANGKAT(Normalisasi!$J$7-Konvergensi!$B$519;2);PANGKAT(Normalisasi!$K$7-Konvergensi!$C$519;2);PANGKAT(Normalisasi!$L$7-Konvergensi!$D$519;2);PANGKAT(Normalisasi!$M$7-Konvergensi!$E$519;2);PANGKAT(Normalisasi!$N$7-Konvergensi!$F$519;2);PANGKAT(Normalisasi!$O$7-Konvergensi!$G$519;2);PANGKAT(Normalisasi!$P$7-Konvergensi!$H$519;2)))</f>
        <v/>
      </c>
      <c r="D536">
        <f>AKAR(JUMLAH(PANGKAT(Normalisasi!$J$7-Konvergensi!$B$520;2);PANGKAT(Normalisasi!$K$7-Konvergensi!$C$520;2);PANGKAT(Normalisasi!$L$7-Konvergensi!$D$520;2);PANGKAT(Normalisasi!$M$7-Konvergensi!$E$520;2);PANGKAT(Normalisasi!$N$7-Konvergensi!$F$520;2);PANGKAT(Normalisasi!$O$7-Konvergensi!$G$520;2);PANGKAT(Normalisasi!$P$7-Konvergensi!$H$520;2)))</f>
        <v/>
      </c>
      <c r="E536">
        <f>AKAR(JUMLAH(PANGKAT(Normalisasi!$J$7-Konvergensi!$B$521;2);PANGKAT(Normalisasi!$K$7-Konvergensi!$C$521;2);PANGKAT(Normalisasi!$L$7-Konvergensi!$D$521;2);PANGKAT(Normalisasi!$M$7-Konvergensi!$E$521;2);PANGKAT(Normalisasi!$N$7-Konvergensi!$F$521;2);PANGKAT(Normalisasi!$O$7-Konvergensi!$G$521;2);PANGKAT(Normalisasi!$P$7-Konvergensi!$H$521;2)))</f>
        <v/>
      </c>
      <c r="F536">
        <f>JIKA(C536&lt;=D536;=JIKA(C536&lt;=E536;0;2);=JIKA(D536&lt;=E536;1;2))</f>
        <v/>
      </c>
      <c r="G536">
        <f>JUMLAH(JIKA(F536=0;JUMLAH(PANGKAT(Normalisasi!$J$7-Konvergensi!$B$584;2);PANGKAT(Normalisasi!$K$7-Konvergensi!$C$584;2);PANGKAT(Normalisasi!$L$7-Konvergensi!$D$584;2);PANGKAT(Normalisasi!$M$7-Konvergensi!$E$584;2);PANGKAT(Normalisasi!$N$7-Konvergensi!$F$584;2);PANGKAT(Normalisasi!$O$7-Konvergensi!$G$584;2);PANGKAT(Normalisasi!$P$7-Konvergensi!$H$584;2));0);JIKA(F536=1;JUMLAH(PANGKAT(Normalisasi!$J$7-Konvergensi!$B$585;2);PANGKAT(Normalisasi!$K$7-Konvergensi!$C$585;2);PANGKAT(Normalisasi!$L$7-Konvergensi!$D$585;2);PANGKAT(Normalisasi!$M$7-Konvergensi!$E$585;2);PANGKAT(Normalisasi!$N$7-Konvergensi!$F$585;2);PANGKAT(Normalisasi!$O$7-Konvergensi!$G$585;2);PANGKAT(Normalisasi!$P$7-Konvergensi!$H$585;2));0);JIKA(F536=2;JUMLAH(PANGKAT(Normalisasi!$J$7-Konvergensi!$B$586;2);PANGKAT(Normalisasi!$K$7-Konvergensi!$C$586;2);PANGKAT(Normalisasi!$L$7-Konvergensi!$D$586;2);PANGKAT(Normalisasi!$M$7-Konvergensi!$E$586;2);PANGKAT(Normalisasi!$N$7-Konvergensi!$F$586;2);PANGKAT(Normalisasi!$O$7-Konvergensi!$G$586;2);PANGKAT(Normalisasi!$P$7-Konvergensi!$H$586;2));0))</f>
        <v/>
      </c>
      <c r="H536" t="n">
        <v>0</v>
      </c>
      <c r="I536" t="n">
        <v>7.73414232698728</v>
      </c>
    </row>
    <row r="537">
      <c r="A537">
        <f>Data_Awal!A8</f>
        <v/>
      </c>
      <c r="B537">
        <f>Data_Awal!B8</f>
        <v/>
      </c>
      <c r="C537">
        <f>AKAR(JUMLAH(PANGKAT(Normalisasi!$J$8-Konvergensi!$B$519;2);PANGKAT(Normalisasi!$K$8-Konvergensi!$C$519;2);PANGKAT(Normalisasi!$L$8-Konvergensi!$D$519;2);PANGKAT(Normalisasi!$M$8-Konvergensi!$E$519;2);PANGKAT(Normalisasi!$N$8-Konvergensi!$F$519;2);PANGKAT(Normalisasi!$O$8-Konvergensi!$G$519;2);PANGKAT(Normalisasi!$P$8-Konvergensi!$H$519;2)))</f>
        <v/>
      </c>
      <c r="D537">
        <f>AKAR(JUMLAH(PANGKAT(Normalisasi!$J$8-Konvergensi!$B$520;2);PANGKAT(Normalisasi!$K$8-Konvergensi!$C$520;2);PANGKAT(Normalisasi!$L$8-Konvergensi!$D$520;2);PANGKAT(Normalisasi!$M$8-Konvergensi!$E$520;2);PANGKAT(Normalisasi!$N$8-Konvergensi!$F$520;2);PANGKAT(Normalisasi!$O$8-Konvergensi!$G$520;2);PANGKAT(Normalisasi!$P$8-Konvergensi!$H$520;2)))</f>
        <v/>
      </c>
      <c r="E537">
        <f>AKAR(JUMLAH(PANGKAT(Normalisasi!$J$8-Konvergensi!$B$521;2);PANGKAT(Normalisasi!$K$8-Konvergensi!$C$521;2);PANGKAT(Normalisasi!$L$8-Konvergensi!$D$521;2);PANGKAT(Normalisasi!$M$8-Konvergensi!$E$521;2);PANGKAT(Normalisasi!$N$8-Konvergensi!$F$521;2);PANGKAT(Normalisasi!$O$8-Konvergensi!$G$521;2);PANGKAT(Normalisasi!$P$8-Konvergensi!$H$521;2)))</f>
        <v/>
      </c>
      <c r="F537">
        <f>JIKA(C537&lt;=D537;=JIKA(C537&lt;=E537;0;2);=JIKA(D537&lt;=E537;1;2))</f>
        <v/>
      </c>
      <c r="G537">
        <f>JUMLAH(JIKA(F537=0;JUMLAH(PANGKAT(Normalisasi!$J$8-Konvergensi!$B$584;2);PANGKAT(Normalisasi!$K$8-Konvergensi!$C$584;2);PANGKAT(Normalisasi!$L$8-Konvergensi!$D$584;2);PANGKAT(Normalisasi!$M$8-Konvergensi!$E$584;2);PANGKAT(Normalisasi!$N$8-Konvergensi!$F$584;2);PANGKAT(Normalisasi!$O$8-Konvergensi!$G$584;2);PANGKAT(Normalisasi!$P$8-Konvergensi!$H$584;2));0);JIKA(F537=1;JUMLAH(PANGKAT(Normalisasi!$J$8-Konvergensi!$B$585;2);PANGKAT(Normalisasi!$K$8-Konvergensi!$C$585;2);PANGKAT(Normalisasi!$L$8-Konvergensi!$D$585;2);PANGKAT(Normalisasi!$M$8-Konvergensi!$E$585;2);PANGKAT(Normalisasi!$N$8-Konvergensi!$F$585;2);PANGKAT(Normalisasi!$O$8-Konvergensi!$G$585;2);PANGKAT(Normalisasi!$P$8-Konvergensi!$H$585;2));0);JIKA(F537=2;JUMLAH(PANGKAT(Normalisasi!$J$8-Konvergensi!$B$586;2);PANGKAT(Normalisasi!$K$8-Konvergensi!$C$586;2);PANGKAT(Normalisasi!$L$8-Konvergensi!$D$586;2);PANGKAT(Normalisasi!$M$8-Konvergensi!$E$586;2);PANGKAT(Normalisasi!$N$8-Konvergensi!$F$586;2);PANGKAT(Normalisasi!$O$8-Konvergensi!$G$586;2);PANGKAT(Normalisasi!$P$8-Konvergensi!$H$586;2));0))</f>
        <v/>
      </c>
      <c r="H537" t="n">
        <v>0</v>
      </c>
      <c r="I537" t="n">
        <v>7.641026911656343</v>
      </c>
    </row>
    <row r="538">
      <c r="A538">
        <f>Data_Awal!A9</f>
        <v/>
      </c>
      <c r="B538">
        <f>Data_Awal!B9</f>
        <v/>
      </c>
      <c r="C538">
        <f>AKAR(JUMLAH(PANGKAT(Normalisasi!$J$9-Konvergensi!$B$519;2);PANGKAT(Normalisasi!$K$9-Konvergensi!$C$519;2);PANGKAT(Normalisasi!$L$9-Konvergensi!$D$519;2);PANGKAT(Normalisasi!$M$9-Konvergensi!$E$519;2);PANGKAT(Normalisasi!$N$9-Konvergensi!$F$519;2);PANGKAT(Normalisasi!$O$9-Konvergensi!$G$519;2);PANGKAT(Normalisasi!$P$9-Konvergensi!$H$519;2)))</f>
        <v/>
      </c>
      <c r="D538">
        <f>AKAR(JUMLAH(PANGKAT(Normalisasi!$J$9-Konvergensi!$B$520;2);PANGKAT(Normalisasi!$K$9-Konvergensi!$C$520;2);PANGKAT(Normalisasi!$L$9-Konvergensi!$D$520;2);PANGKAT(Normalisasi!$M$9-Konvergensi!$E$520;2);PANGKAT(Normalisasi!$N$9-Konvergensi!$F$520;2);PANGKAT(Normalisasi!$O$9-Konvergensi!$G$520;2);PANGKAT(Normalisasi!$P$9-Konvergensi!$H$520;2)))</f>
        <v/>
      </c>
      <c r="E538">
        <f>AKAR(JUMLAH(PANGKAT(Normalisasi!$J$9-Konvergensi!$B$521;2);PANGKAT(Normalisasi!$K$9-Konvergensi!$C$521;2);PANGKAT(Normalisasi!$L$9-Konvergensi!$D$521;2);PANGKAT(Normalisasi!$M$9-Konvergensi!$E$521;2);PANGKAT(Normalisasi!$N$9-Konvergensi!$F$521;2);PANGKAT(Normalisasi!$O$9-Konvergensi!$G$521;2);PANGKAT(Normalisasi!$P$9-Konvergensi!$H$521;2)))</f>
        <v/>
      </c>
      <c r="F538">
        <f>JIKA(C538&lt;=D538;=JIKA(C538&lt;=E538;0;2);=JIKA(D538&lt;=E538;1;2))</f>
        <v/>
      </c>
      <c r="G538">
        <f>JUMLAH(JIKA(F538=0;JUMLAH(PANGKAT(Normalisasi!$J$9-Konvergensi!$B$584;2);PANGKAT(Normalisasi!$K$9-Konvergensi!$C$584;2);PANGKAT(Normalisasi!$L$9-Konvergensi!$D$584;2);PANGKAT(Normalisasi!$M$9-Konvergensi!$E$584;2);PANGKAT(Normalisasi!$N$9-Konvergensi!$F$584;2);PANGKAT(Normalisasi!$O$9-Konvergensi!$G$584;2);PANGKAT(Normalisasi!$P$9-Konvergensi!$H$584;2));0);JIKA(F538=1;JUMLAH(PANGKAT(Normalisasi!$J$9-Konvergensi!$B$585;2);PANGKAT(Normalisasi!$K$9-Konvergensi!$C$585;2);PANGKAT(Normalisasi!$L$9-Konvergensi!$D$585;2);PANGKAT(Normalisasi!$M$9-Konvergensi!$E$585;2);PANGKAT(Normalisasi!$N$9-Konvergensi!$F$585;2);PANGKAT(Normalisasi!$O$9-Konvergensi!$G$585;2);PANGKAT(Normalisasi!$P$9-Konvergensi!$H$585;2));0);JIKA(F538=2;JUMLAH(PANGKAT(Normalisasi!$J$9-Konvergensi!$B$586;2);PANGKAT(Normalisasi!$K$9-Konvergensi!$C$586;2);PANGKAT(Normalisasi!$L$9-Konvergensi!$D$586;2);PANGKAT(Normalisasi!$M$9-Konvergensi!$E$586;2);PANGKAT(Normalisasi!$N$9-Konvergensi!$F$586;2);PANGKAT(Normalisasi!$O$9-Konvergensi!$G$586;2);PANGKAT(Normalisasi!$P$9-Konvergensi!$H$586;2));0))</f>
        <v/>
      </c>
      <c r="H538" t="n">
        <v>1</v>
      </c>
      <c r="I538" t="n">
        <v>7.141395823476353</v>
      </c>
    </row>
    <row r="539">
      <c r="A539">
        <f>Data_Awal!A10</f>
        <v/>
      </c>
      <c r="B539">
        <f>Data_Awal!B10</f>
        <v/>
      </c>
      <c r="C539">
        <f>AKAR(JUMLAH(PANGKAT(Normalisasi!$J$10-Konvergensi!$B$519;2);PANGKAT(Normalisasi!$K$10-Konvergensi!$C$519;2);PANGKAT(Normalisasi!$L$10-Konvergensi!$D$519;2);PANGKAT(Normalisasi!$M$10-Konvergensi!$E$519;2);PANGKAT(Normalisasi!$N$10-Konvergensi!$F$519;2);PANGKAT(Normalisasi!$O$10-Konvergensi!$G$519;2);PANGKAT(Normalisasi!$P$10-Konvergensi!$H$519;2)))</f>
        <v/>
      </c>
      <c r="D539">
        <f>AKAR(JUMLAH(PANGKAT(Normalisasi!$J$10-Konvergensi!$B$520;2);PANGKAT(Normalisasi!$K$10-Konvergensi!$C$520;2);PANGKAT(Normalisasi!$L$10-Konvergensi!$D$520;2);PANGKAT(Normalisasi!$M$10-Konvergensi!$E$520;2);PANGKAT(Normalisasi!$N$10-Konvergensi!$F$520;2);PANGKAT(Normalisasi!$O$10-Konvergensi!$G$520;2);PANGKAT(Normalisasi!$P$10-Konvergensi!$H$520;2)))</f>
        <v/>
      </c>
      <c r="E539">
        <f>AKAR(JUMLAH(PANGKAT(Normalisasi!$J$10-Konvergensi!$B$521;2);PANGKAT(Normalisasi!$K$10-Konvergensi!$C$521;2);PANGKAT(Normalisasi!$L$10-Konvergensi!$D$521;2);PANGKAT(Normalisasi!$M$10-Konvergensi!$E$521;2);PANGKAT(Normalisasi!$N$10-Konvergensi!$F$521;2);PANGKAT(Normalisasi!$O$10-Konvergensi!$G$521;2);PANGKAT(Normalisasi!$P$10-Konvergensi!$H$521;2)))</f>
        <v/>
      </c>
      <c r="F539">
        <f>JIKA(C539&lt;=D539;=JIKA(C539&lt;=E539;0;2);=JIKA(D539&lt;=E539;1;2))</f>
        <v/>
      </c>
      <c r="G539">
        <f>JUMLAH(JIKA(F539=0;JUMLAH(PANGKAT(Normalisasi!$J$10-Konvergensi!$B$584;2);PANGKAT(Normalisasi!$K$10-Konvergensi!$C$584;2);PANGKAT(Normalisasi!$L$10-Konvergensi!$D$584;2);PANGKAT(Normalisasi!$M$10-Konvergensi!$E$584;2);PANGKAT(Normalisasi!$N$10-Konvergensi!$F$584;2);PANGKAT(Normalisasi!$O$10-Konvergensi!$G$584;2);PANGKAT(Normalisasi!$P$10-Konvergensi!$H$584;2));0);JIKA(F539=1;JUMLAH(PANGKAT(Normalisasi!$J$10-Konvergensi!$B$585;2);PANGKAT(Normalisasi!$K$10-Konvergensi!$C$585;2);PANGKAT(Normalisasi!$L$10-Konvergensi!$D$585;2);PANGKAT(Normalisasi!$M$10-Konvergensi!$E$585;2);PANGKAT(Normalisasi!$N$10-Konvergensi!$F$585;2);PANGKAT(Normalisasi!$O$10-Konvergensi!$G$585;2);PANGKAT(Normalisasi!$P$10-Konvergensi!$H$585;2));0);JIKA(F539=2;JUMLAH(PANGKAT(Normalisasi!$J$10-Konvergensi!$B$586;2);PANGKAT(Normalisasi!$K$10-Konvergensi!$C$586;2);PANGKAT(Normalisasi!$L$10-Konvergensi!$D$586;2);PANGKAT(Normalisasi!$M$10-Konvergensi!$E$586;2);PANGKAT(Normalisasi!$N$10-Konvergensi!$F$586;2);PANGKAT(Normalisasi!$O$10-Konvergensi!$G$586;2);PANGKAT(Normalisasi!$P$10-Konvergensi!$H$586;2));0))</f>
        <v/>
      </c>
      <c r="H539" t="n">
        <v>0</v>
      </c>
      <c r="I539" t="n">
        <v>3.59328789331856</v>
      </c>
    </row>
    <row r="540">
      <c r="A540">
        <f>Data_Awal!A11</f>
        <v/>
      </c>
      <c r="B540">
        <f>Data_Awal!B11</f>
        <v/>
      </c>
      <c r="C540">
        <f>AKAR(JUMLAH(PANGKAT(Normalisasi!$J$11-Konvergensi!$B$519;2);PANGKAT(Normalisasi!$K$11-Konvergensi!$C$519;2);PANGKAT(Normalisasi!$L$11-Konvergensi!$D$519;2);PANGKAT(Normalisasi!$M$11-Konvergensi!$E$519;2);PANGKAT(Normalisasi!$N$11-Konvergensi!$F$519;2);PANGKAT(Normalisasi!$O$11-Konvergensi!$G$519;2);PANGKAT(Normalisasi!$P$11-Konvergensi!$H$519;2)))</f>
        <v/>
      </c>
      <c r="D540">
        <f>AKAR(JUMLAH(PANGKAT(Normalisasi!$J$11-Konvergensi!$B$520;2);PANGKAT(Normalisasi!$K$11-Konvergensi!$C$520;2);PANGKAT(Normalisasi!$L$11-Konvergensi!$D$520;2);PANGKAT(Normalisasi!$M$11-Konvergensi!$E$520;2);PANGKAT(Normalisasi!$N$11-Konvergensi!$F$520;2);PANGKAT(Normalisasi!$O$11-Konvergensi!$G$520;2);PANGKAT(Normalisasi!$P$11-Konvergensi!$H$520;2)))</f>
        <v/>
      </c>
      <c r="E540">
        <f>AKAR(JUMLAH(PANGKAT(Normalisasi!$J$11-Konvergensi!$B$521;2);PANGKAT(Normalisasi!$K$11-Konvergensi!$C$521;2);PANGKAT(Normalisasi!$L$11-Konvergensi!$D$521;2);PANGKAT(Normalisasi!$M$11-Konvergensi!$E$521;2);PANGKAT(Normalisasi!$N$11-Konvergensi!$F$521;2);PANGKAT(Normalisasi!$O$11-Konvergensi!$G$521;2);PANGKAT(Normalisasi!$P$11-Konvergensi!$H$521;2)))</f>
        <v/>
      </c>
      <c r="F540">
        <f>JIKA(C540&lt;=D540;=JIKA(C540&lt;=E540;0;2);=JIKA(D540&lt;=E540;1;2))</f>
        <v/>
      </c>
      <c r="G540">
        <f>JUMLAH(JIKA(F540=0;JUMLAH(PANGKAT(Normalisasi!$J$11-Konvergensi!$B$584;2);PANGKAT(Normalisasi!$K$11-Konvergensi!$C$584;2);PANGKAT(Normalisasi!$L$11-Konvergensi!$D$584;2);PANGKAT(Normalisasi!$M$11-Konvergensi!$E$584;2);PANGKAT(Normalisasi!$N$11-Konvergensi!$F$584;2);PANGKAT(Normalisasi!$O$11-Konvergensi!$G$584;2);PANGKAT(Normalisasi!$P$11-Konvergensi!$H$584;2));0);JIKA(F540=1;JUMLAH(PANGKAT(Normalisasi!$J$11-Konvergensi!$B$585;2);PANGKAT(Normalisasi!$K$11-Konvergensi!$C$585;2);PANGKAT(Normalisasi!$L$11-Konvergensi!$D$585;2);PANGKAT(Normalisasi!$M$11-Konvergensi!$E$585;2);PANGKAT(Normalisasi!$N$11-Konvergensi!$F$585;2);PANGKAT(Normalisasi!$O$11-Konvergensi!$G$585;2);PANGKAT(Normalisasi!$P$11-Konvergensi!$H$585;2));0);JIKA(F540=2;JUMLAH(PANGKAT(Normalisasi!$J$11-Konvergensi!$B$586;2);PANGKAT(Normalisasi!$K$11-Konvergensi!$C$586;2);PANGKAT(Normalisasi!$L$11-Konvergensi!$D$586;2);PANGKAT(Normalisasi!$M$11-Konvergensi!$E$586;2);PANGKAT(Normalisasi!$N$11-Konvergensi!$F$586;2);PANGKAT(Normalisasi!$O$11-Konvergensi!$G$586;2);PANGKAT(Normalisasi!$P$11-Konvergensi!$H$586;2));0))</f>
        <v/>
      </c>
      <c r="H540" t="n">
        <v>1</v>
      </c>
      <c r="I540" t="n">
        <v>1.573799215733445</v>
      </c>
    </row>
    <row r="541">
      <c r="A541">
        <f>Data_Awal!A12</f>
        <v/>
      </c>
      <c r="B541">
        <f>Data_Awal!B12</f>
        <v/>
      </c>
      <c r="C541">
        <f>AKAR(JUMLAH(PANGKAT(Normalisasi!$J$12-Konvergensi!$B$519;2);PANGKAT(Normalisasi!$K$12-Konvergensi!$C$519;2);PANGKAT(Normalisasi!$L$12-Konvergensi!$D$519;2);PANGKAT(Normalisasi!$M$12-Konvergensi!$E$519;2);PANGKAT(Normalisasi!$N$12-Konvergensi!$F$519;2);PANGKAT(Normalisasi!$O$12-Konvergensi!$G$519;2);PANGKAT(Normalisasi!$P$12-Konvergensi!$H$519;2)))</f>
        <v/>
      </c>
      <c r="D541">
        <f>AKAR(JUMLAH(PANGKAT(Normalisasi!$J$12-Konvergensi!$B$520;2);PANGKAT(Normalisasi!$K$12-Konvergensi!$C$520;2);PANGKAT(Normalisasi!$L$12-Konvergensi!$D$520;2);PANGKAT(Normalisasi!$M$12-Konvergensi!$E$520;2);PANGKAT(Normalisasi!$N$12-Konvergensi!$F$520;2);PANGKAT(Normalisasi!$O$12-Konvergensi!$G$520;2);PANGKAT(Normalisasi!$P$12-Konvergensi!$H$520;2)))</f>
        <v/>
      </c>
      <c r="E541">
        <f>AKAR(JUMLAH(PANGKAT(Normalisasi!$J$12-Konvergensi!$B$521;2);PANGKAT(Normalisasi!$K$12-Konvergensi!$C$521;2);PANGKAT(Normalisasi!$L$12-Konvergensi!$D$521;2);PANGKAT(Normalisasi!$M$12-Konvergensi!$E$521;2);PANGKAT(Normalisasi!$N$12-Konvergensi!$F$521;2);PANGKAT(Normalisasi!$O$12-Konvergensi!$G$521;2);PANGKAT(Normalisasi!$P$12-Konvergensi!$H$521;2)))</f>
        <v/>
      </c>
      <c r="F541">
        <f>JIKA(C541&lt;=D541;=JIKA(C541&lt;=E541;0;2);=JIKA(D541&lt;=E541;1;2))</f>
        <v/>
      </c>
      <c r="G541">
        <f>JUMLAH(JIKA(F541=0;JUMLAH(PANGKAT(Normalisasi!$J$12-Konvergensi!$B$584;2);PANGKAT(Normalisasi!$K$12-Konvergensi!$C$584;2);PANGKAT(Normalisasi!$L$12-Konvergensi!$D$584;2);PANGKAT(Normalisasi!$M$12-Konvergensi!$E$584;2);PANGKAT(Normalisasi!$N$12-Konvergensi!$F$584;2);PANGKAT(Normalisasi!$O$12-Konvergensi!$G$584;2);PANGKAT(Normalisasi!$P$12-Konvergensi!$H$584;2));0);JIKA(F541=1;JUMLAH(PANGKAT(Normalisasi!$J$12-Konvergensi!$B$585;2);PANGKAT(Normalisasi!$K$12-Konvergensi!$C$585;2);PANGKAT(Normalisasi!$L$12-Konvergensi!$D$585;2);PANGKAT(Normalisasi!$M$12-Konvergensi!$E$585;2);PANGKAT(Normalisasi!$N$12-Konvergensi!$F$585;2);PANGKAT(Normalisasi!$O$12-Konvergensi!$G$585;2);PANGKAT(Normalisasi!$P$12-Konvergensi!$H$585;2));0);JIKA(F541=2;JUMLAH(PANGKAT(Normalisasi!$J$12-Konvergensi!$B$586;2);PANGKAT(Normalisasi!$K$12-Konvergensi!$C$586;2);PANGKAT(Normalisasi!$L$12-Konvergensi!$D$586;2);PANGKAT(Normalisasi!$M$12-Konvergensi!$E$586;2);PANGKAT(Normalisasi!$N$12-Konvergensi!$F$586;2);PANGKAT(Normalisasi!$O$12-Konvergensi!$G$586;2);PANGKAT(Normalisasi!$P$12-Konvergensi!$H$586;2));0))</f>
        <v/>
      </c>
      <c r="H541" t="n">
        <v>1</v>
      </c>
      <c r="I541" t="n">
        <v>7.985927693706085</v>
      </c>
    </row>
    <row r="542">
      <c r="A542">
        <f>Data_Awal!A13</f>
        <v/>
      </c>
      <c r="B542">
        <f>Data_Awal!B13</f>
        <v/>
      </c>
      <c r="C542">
        <f>AKAR(JUMLAH(PANGKAT(Normalisasi!$J$13-Konvergensi!$B$519;2);PANGKAT(Normalisasi!$K$13-Konvergensi!$C$519;2);PANGKAT(Normalisasi!$L$13-Konvergensi!$D$519;2);PANGKAT(Normalisasi!$M$13-Konvergensi!$E$519;2);PANGKAT(Normalisasi!$N$13-Konvergensi!$F$519;2);PANGKAT(Normalisasi!$O$13-Konvergensi!$G$519;2);PANGKAT(Normalisasi!$P$13-Konvergensi!$H$519;2)))</f>
        <v/>
      </c>
      <c r="D542">
        <f>AKAR(JUMLAH(PANGKAT(Normalisasi!$J$13-Konvergensi!$B$520;2);PANGKAT(Normalisasi!$K$13-Konvergensi!$C$520;2);PANGKAT(Normalisasi!$L$13-Konvergensi!$D$520;2);PANGKAT(Normalisasi!$M$13-Konvergensi!$E$520;2);PANGKAT(Normalisasi!$N$13-Konvergensi!$F$520;2);PANGKAT(Normalisasi!$O$13-Konvergensi!$G$520;2);PANGKAT(Normalisasi!$P$13-Konvergensi!$H$520;2)))</f>
        <v/>
      </c>
      <c r="E542">
        <f>AKAR(JUMLAH(PANGKAT(Normalisasi!$J$13-Konvergensi!$B$521;2);PANGKAT(Normalisasi!$K$13-Konvergensi!$C$521;2);PANGKAT(Normalisasi!$L$13-Konvergensi!$D$521;2);PANGKAT(Normalisasi!$M$13-Konvergensi!$E$521;2);PANGKAT(Normalisasi!$N$13-Konvergensi!$F$521;2);PANGKAT(Normalisasi!$O$13-Konvergensi!$G$521;2);PANGKAT(Normalisasi!$P$13-Konvergensi!$H$521;2)))</f>
        <v/>
      </c>
      <c r="F542">
        <f>JIKA(C542&lt;=D542;=JIKA(C542&lt;=E542;0;2);=JIKA(D542&lt;=E542;1;2))</f>
        <v/>
      </c>
      <c r="G542">
        <f>JUMLAH(JIKA(F542=0;JUMLAH(PANGKAT(Normalisasi!$J$13-Konvergensi!$B$584;2);PANGKAT(Normalisasi!$K$13-Konvergensi!$C$584;2);PANGKAT(Normalisasi!$L$13-Konvergensi!$D$584;2);PANGKAT(Normalisasi!$M$13-Konvergensi!$E$584;2);PANGKAT(Normalisasi!$N$13-Konvergensi!$F$584;2);PANGKAT(Normalisasi!$O$13-Konvergensi!$G$584;2);PANGKAT(Normalisasi!$P$13-Konvergensi!$H$584;2));0);JIKA(F542=1;JUMLAH(PANGKAT(Normalisasi!$J$13-Konvergensi!$B$585;2);PANGKAT(Normalisasi!$K$13-Konvergensi!$C$585;2);PANGKAT(Normalisasi!$L$13-Konvergensi!$D$585;2);PANGKAT(Normalisasi!$M$13-Konvergensi!$E$585;2);PANGKAT(Normalisasi!$N$13-Konvergensi!$F$585;2);PANGKAT(Normalisasi!$O$13-Konvergensi!$G$585;2);PANGKAT(Normalisasi!$P$13-Konvergensi!$H$585;2));0);JIKA(F542=2;JUMLAH(PANGKAT(Normalisasi!$J$13-Konvergensi!$B$586;2);PANGKAT(Normalisasi!$K$13-Konvergensi!$C$586;2);PANGKAT(Normalisasi!$L$13-Konvergensi!$D$586;2);PANGKAT(Normalisasi!$M$13-Konvergensi!$E$586;2);PANGKAT(Normalisasi!$N$13-Konvergensi!$F$586;2);PANGKAT(Normalisasi!$O$13-Konvergensi!$G$586;2);PANGKAT(Normalisasi!$P$13-Konvergensi!$H$586;2));0))</f>
        <v/>
      </c>
      <c r="H542" t="n">
        <v>1</v>
      </c>
      <c r="I542" t="n">
        <v>7.177787267379674</v>
      </c>
    </row>
    <row r="543">
      <c r="A543">
        <f>Data_Awal!A14</f>
        <v/>
      </c>
      <c r="B543">
        <f>Data_Awal!B14</f>
        <v/>
      </c>
      <c r="C543">
        <f>AKAR(JUMLAH(PANGKAT(Normalisasi!$J$14-Konvergensi!$B$519;2);PANGKAT(Normalisasi!$K$14-Konvergensi!$C$519;2);PANGKAT(Normalisasi!$L$14-Konvergensi!$D$519;2);PANGKAT(Normalisasi!$M$14-Konvergensi!$E$519;2);PANGKAT(Normalisasi!$N$14-Konvergensi!$F$519;2);PANGKAT(Normalisasi!$O$14-Konvergensi!$G$519;2);PANGKAT(Normalisasi!$P$14-Konvergensi!$H$519;2)))</f>
        <v/>
      </c>
      <c r="D543">
        <f>AKAR(JUMLAH(PANGKAT(Normalisasi!$J$14-Konvergensi!$B$520;2);PANGKAT(Normalisasi!$K$14-Konvergensi!$C$520;2);PANGKAT(Normalisasi!$L$14-Konvergensi!$D$520;2);PANGKAT(Normalisasi!$M$14-Konvergensi!$E$520;2);PANGKAT(Normalisasi!$N$14-Konvergensi!$F$520;2);PANGKAT(Normalisasi!$O$14-Konvergensi!$G$520;2);PANGKAT(Normalisasi!$P$14-Konvergensi!$H$520;2)))</f>
        <v/>
      </c>
      <c r="E543">
        <f>AKAR(JUMLAH(PANGKAT(Normalisasi!$J$14-Konvergensi!$B$521;2);PANGKAT(Normalisasi!$K$14-Konvergensi!$C$521;2);PANGKAT(Normalisasi!$L$14-Konvergensi!$D$521;2);PANGKAT(Normalisasi!$M$14-Konvergensi!$E$521;2);PANGKAT(Normalisasi!$N$14-Konvergensi!$F$521;2);PANGKAT(Normalisasi!$O$14-Konvergensi!$G$521;2);PANGKAT(Normalisasi!$P$14-Konvergensi!$H$521;2)))</f>
        <v/>
      </c>
      <c r="F543">
        <f>JIKA(C543&lt;=D543;=JIKA(C543&lt;=E543;0;2);=JIKA(D543&lt;=E543;1;2))</f>
        <v/>
      </c>
      <c r="G543">
        <f>JUMLAH(JIKA(F543=0;JUMLAH(PANGKAT(Normalisasi!$J$14-Konvergensi!$B$584;2);PANGKAT(Normalisasi!$K$14-Konvergensi!$C$584;2);PANGKAT(Normalisasi!$L$14-Konvergensi!$D$584;2);PANGKAT(Normalisasi!$M$14-Konvergensi!$E$584;2);PANGKAT(Normalisasi!$N$14-Konvergensi!$F$584;2);PANGKAT(Normalisasi!$O$14-Konvergensi!$G$584;2);PANGKAT(Normalisasi!$P$14-Konvergensi!$H$584;2));0);JIKA(F543=1;JUMLAH(PANGKAT(Normalisasi!$J$14-Konvergensi!$B$585;2);PANGKAT(Normalisasi!$K$14-Konvergensi!$C$585;2);PANGKAT(Normalisasi!$L$14-Konvergensi!$D$585;2);PANGKAT(Normalisasi!$M$14-Konvergensi!$E$585;2);PANGKAT(Normalisasi!$N$14-Konvergensi!$F$585;2);PANGKAT(Normalisasi!$O$14-Konvergensi!$G$585;2);PANGKAT(Normalisasi!$P$14-Konvergensi!$H$585;2));0);JIKA(F543=2;JUMLAH(PANGKAT(Normalisasi!$J$14-Konvergensi!$B$586;2);PANGKAT(Normalisasi!$K$14-Konvergensi!$C$586;2);PANGKAT(Normalisasi!$L$14-Konvergensi!$D$586;2);PANGKAT(Normalisasi!$M$14-Konvergensi!$E$586;2);PANGKAT(Normalisasi!$N$14-Konvergensi!$F$586;2);PANGKAT(Normalisasi!$O$14-Konvergensi!$G$586;2);PANGKAT(Normalisasi!$P$14-Konvergensi!$H$586;2));0))</f>
        <v/>
      </c>
      <c r="H543" t="n">
        <v>2</v>
      </c>
      <c r="I543" t="n">
        <v>4.226072908817118</v>
      </c>
    </row>
    <row r="544">
      <c r="A544">
        <f>Data_Awal!A15</f>
        <v/>
      </c>
      <c r="B544">
        <f>Data_Awal!B15</f>
        <v/>
      </c>
      <c r="C544">
        <f>AKAR(JUMLAH(PANGKAT(Normalisasi!$J$15-Konvergensi!$B$519;2);PANGKAT(Normalisasi!$K$15-Konvergensi!$C$519;2);PANGKAT(Normalisasi!$L$15-Konvergensi!$D$519;2);PANGKAT(Normalisasi!$M$15-Konvergensi!$E$519;2);PANGKAT(Normalisasi!$N$15-Konvergensi!$F$519;2);PANGKAT(Normalisasi!$O$15-Konvergensi!$G$519;2);PANGKAT(Normalisasi!$P$15-Konvergensi!$H$519;2)))</f>
        <v/>
      </c>
      <c r="D544">
        <f>AKAR(JUMLAH(PANGKAT(Normalisasi!$J$15-Konvergensi!$B$520;2);PANGKAT(Normalisasi!$K$15-Konvergensi!$C$520;2);PANGKAT(Normalisasi!$L$15-Konvergensi!$D$520;2);PANGKAT(Normalisasi!$M$15-Konvergensi!$E$520;2);PANGKAT(Normalisasi!$N$15-Konvergensi!$F$520;2);PANGKAT(Normalisasi!$O$15-Konvergensi!$G$520;2);PANGKAT(Normalisasi!$P$15-Konvergensi!$H$520;2)))</f>
        <v/>
      </c>
      <c r="E544">
        <f>AKAR(JUMLAH(PANGKAT(Normalisasi!$J$15-Konvergensi!$B$521;2);PANGKAT(Normalisasi!$K$15-Konvergensi!$C$521;2);PANGKAT(Normalisasi!$L$15-Konvergensi!$D$521;2);PANGKAT(Normalisasi!$M$15-Konvergensi!$E$521;2);PANGKAT(Normalisasi!$N$15-Konvergensi!$F$521;2);PANGKAT(Normalisasi!$O$15-Konvergensi!$G$521;2);PANGKAT(Normalisasi!$P$15-Konvergensi!$H$521;2)))</f>
        <v/>
      </c>
      <c r="F544">
        <f>JIKA(C544&lt;=D544;=JIKA(C544&lt;=E544;0;2);=JIKA(D544&lt;=E544;1;2))</f>
        <v/>
      </c>
      <c r="G544">
        <f>JUMLAH(JIKA(F544=0;JUMLAH(PANGKAT(Normalisasi!$J$15-Konvergensi!$B$584;2);PANGKAT(Normalisasi!$K$15-Konvergensi!$C$584;2);PANGKAT(Normalisasi!$L$15-Konvergensi!$D$584;2);PANGKAT(Normalisasi!$M$15-Konvergensi!$E$584;2);PANGKAT(Normalisasi!$N$15-Konvergensi!$F$584;2);PANGKAT(Normalisasi!$O$15-Konvergensi!$G$584;2);PANGKAT(Normalisasi!$P$15-Konvergensi!$H$584;2));0);JIKA(F544=1;JUMLAH(PANGKAT(Normalisasi!$J$15-Konvergensi!$B$585;2);PANGKAT(Normalisasi!$K$15-Konvergensi!$C$585;2);PANGKAT(Normalisasi!$L$15-Konvergensi!$D$585;2);PANGKAT(Normalisasi!$M$15-Konvergensi!$E$585;2);PANGKAT(Normalisasi!$N$15-Konvergensi!$F$585;2);PANGKAT(Normalisasi!$O$15-Konvergensi!$G$585;2);PANGKAT(Normalisasi!$P$15-Konvergensi!$H$585;2));0);JIKA(F544=2;JUMLAH(PANGKAT(Normalisasi!$J$15-Konvergensi!$B$586;2);PANGKAT(Normalisasi!$K$15-Konvergensi!$C$586;2);PANGKAT(Normalisasi!$L$15-Konvergensi!$D$586;2);PANGKAT(Normalisasi!$M$15-Konvergensi!$E$586;2);PANGKAT(Normalisasi!$N$15-Konvergensi!$F$586;2);PANGKAT(Normalisasi!$O$15-Konvergensi!$G$586;2);PANGKAT(Normalisasi!$P$15-Konvergensi!$H$586;2));0))</f>
        <v/>
      </c>
      <c r="H544" t="n">
        <v>0</v>
      </c>
      <c r="I544" t="n">
        <v>2.846654789395722</v>
      </c>
    </row>
    <row r="545">
      <c r="A545">
        <f>Data_Awal!A16</f>
        <v/>
      </c>
      <c r="B545">
        <f>Data_Awal!B16</f>
        <v/>
      </c>
      <c r="C545">
        <f>AKAR(JUMLAH(PANGKAT(Normalisasi!$J$16-Konvergensi!$B$519;2);PANGKAT(Normalisasi!$K$16-Konvergensi!$C$519;2);PANGKAT(Normalisasi!$L$16-Konvergensi!$D$519;2);PANGKAT(Normalisasi!$M$16-Konvergensi!$E$519;2);PANGKAT(Normalisasi!$N$16-Konvergensi!$F$519;2);PANGKAT(Normalisasi!$O$16-Konvergensi!$G$519;2);PANGKAT(Normalisasi!$P$16-Konvergensi!$H$519;2)))</f>
        <v/>
      </c>
      <c r="D545">
        <f>AKAR(JUMLAH(PANGKAT(Normalisasi!$J$16-Konvergensi!$B$520;2);PANGKAT(Normalisasi!$K$16-Konvergensi!$C$520;2);PANGKAT(Normalisasi!$L$16-Konvergensi!$D$520;2);PANGKAT(Normalisasi!$M$16-Konvergensi!$E$520;2);PANGKAT(Normalisasi!$N$16-Konvergensi!$F$520;2);PANGKAT(Normalisasi!$O$16-Konvergensi!$G$520;2);PANGKAT(Normalisasi!$P$16-Konvergensi!$H$520;2)))</f>
        <v/>
      </c>
      <c r="E545">
        <f>AKAR(JUMLAH(PANGKAT(Normalisasi!$J$16-Konvergensi!$B$521;2);PANGKAT(Normalisasi!$K$16-Konvergensi!$C$521;2);PANGKAT(Normalisasi!$L$16-Konvergensi!$D$521;2);PANGKAT(Normalisasi!$M$16-Konvergensi!$E$521;2);PANGKAT(Normalisasi!$N$16-Konvergensi!$F$521;2);PANGKAT(Normalisasi!$O$16-Konvergensi!$G$521;2);PANGKAT(Normalisasi!$P$16-Konvergensi!$H$521;2)))</f>
        <v/>
      </c>
      <c r="F545">
        <f>JIKA(C545&lt;=D545;=JIKA(C545&lt;=E545;0;2);=JIKA(D545&lt;=E545;1;2))</f>
        <v/>
      </c>
      <c r="G545">
        <f>JUMLAH(JIKA(F545=0;JUMLAH(PANGKAT(Normalisasi!$J$16-Konvergensi!$B$584;2);PANGKAT(Normalisasi!$K$16-Konvergensi!$C$584;2);PANGKAT(Normalisasi!$L$16-Konvergensi!$D$584;2);PANGKAT(Normalisasi!$M$16-Konvergensi!$E$584;2);PANGKAT(Normalisasi!$N$16-Konvergensi!$F$584;2);PANGKAT(Normalisasi!$O$16-Konvergensi!$G$584;2);PANGKAT(Normalisasi!$P$16-Konvergensi!$H$584;2));0);JIKA(F545=1;JUMLAH(PANGKAT(Normalisasi!$J$16-Konvergensi!$B$585;2);PANGKAT(Normalisasi!$K$16-Konvergensi!$C$585;2);PANGKAT(Normalisasi!$L$16-Konvergensi!$D$585;2);PANGKAT(Normalisasi!$M$16-Konvergensi!$E$585;2);PANGKAT(Normalisasi!$N$16-Konvergensi!$F$585;2);PANGKAT(Normalisasi!$O$16-Konvergensi!$G$585;2);PANGKAT(Normalisasi!$P$16-Konvergensi!$H$585;2));0);JIKA(F545=2;JUMLAH(PANGKAT(Normalisasi!$J$16-Konvergensi!$B$586;2);PANGKAT(Normalisasi!$K$16-Konvergensi!$C$586;2);PANGKAT(Normalisasi!$L$16-Konvergensi!$D$586;2);PANGKAT(Normalisasi!$M$16-Konvergensi!$E$586;2);PANGKAT(Normalisasi!$N$16-Konvergensi!$F$586;2);PANGKAT(Normalisasi!$O$16-Konvergensi!$G$586;2);PANGKAT(Normalisasi!$P$16-Konvergensi!$H$586;2));0))</f>
        <v/>
      </c>
      <c r="H545" t="n">
        <v>1</v>
      </c>
      <c r="I545" t="n">
        <v>7.366768957039133</v>
      </c>
    </row>
    <row r="546">
      <c r="A546">
        <f>Data_Awal!A17</f>
        <v/>
      </c>
      <c r="B546">
        <f>Data_Awal!B17</f>
        <v/>
      </c>
      <c r="C546">
        <f>AKAR(JUMLAH(PANGKAT(Normalisasi!$J$17-Konvergensi!$B$519;2);PANGKAT(Normalisasi!$K$17-Konvergensi!$C$519;2);PANGKAT(Normalisasi!$L$17-Konvergensi!$D$519;2);PANGKAT(Normalisasi!$M$17-Konvergensi!$E$519;2);PANGKAT(Normalisasi!$N$17-Konvergensi!$F$519;2);PANGKAT(Normalisasi!$O$17-Konvergensi!$G$519;2);PANGKAT(Normalisasi!$P$17-Konvergensi!$H$519;2)))</f>
        <v/>
      </c>
      <c r="D546">
        <f>AKAR(JUMLAH(PANGKAT(Normalisasi!$J$17-Konvergensi!$B$520;2);PANGKAT(Normalisasi!$K$17-Konvergensi!$C$520;2);PANGKAT(Normalisasi!$L$17-Konvergensi!$D$520;2);PANGKAT(Normalisasi!$M$17-Konvergensi!$E$520;2);PANGKAT(Normalisasi!$N$17-Konvergensi!$F$520;2);PANGKAT(Normalisasi!$O$17-Konvergensi!$G$520;2);PANGKAT(Normalisasi!$P$17-Konvergensi!$H$520;2)))</f>
        <v/>
      </c>
      <c r="E546">
        <f>AKAR(JUMLAH(PANGKAT(Normalisasi!$J$17-Konvergensi!$B$521;2);PANGKAT(Normalisasi!$K$17-Konvergensi!$C$521;2);PANGKAT(Normalisasi!$L$17-Konvergensi!$D$521;2);PANGKAT(Normalisasi!$M$17-Konvergensi!$E$521;2);PANGKAT(Normalisasi!$N$17-Konvergensi!$F$521;2);PANGKAT(Normalisasi!$O$17-Konvergensi!$G$521;2);PANGKAT(Normalisasi!$P$17-Konvergensi!$H$521;2)))</f>
        <v/>
      </c>
      <c r="F546">
        <f>JIKA(C546&lt;=D546;=JIKA(C546&lt;=E546;0;2);=JIKA(D546&lt;=E546;1;2))</f>
        <v/>
      </c>
      <c r="G546">
        <f>JUMLAH(JIKA(F546=0;JUMLAH(PANGKAT(Normalisasi!$J$17-Konvergensi!$B$584;2);PANGKAT(Normalisasi!$K$17-Konvergensi!$C$584;2);PANGKAT(Normalisasi!$L$17-Konvergensi!$D$584;2);PANGKAT(Normalisasi!$M$17-Konvergensi!$E$584;2);PANGKAT(Normalisasi!$N$17-Konvergensi!$F$584;2);PANGKAT(Normalisasi!$O$17-Konvergensi!$G$584;2);PANGKAT(Normalisasi!$P$17-Konvergensi!$H$584;2));0);JIKA(F546=1;JUMLAH(PANGKAT(Normalisasi!$J$17-Konvergensi!$B$585;2);PANGKAT(Normalisasi!$K$17-Konvergensi!$C$585;2);PANGKAT(Normalisasi!$L$17-Konvergensi!$D$585;2);PANGKAT(Normalisasi!$M$17-Konvergensi!$E$585;2);PANGKAT(Normalisasi!$N$17-Konvergensi!$F$585;2);PANGKAT(Normalisasi!$O$17-Konvergensi!$G$585;2);PANGKAT(Normalisasi!$P$17-Konvergensi!$H$585;2));0);JIKA(F546=2;JUMLAH(PANGKAT(Normalisasi!$J$17-Konvergensi!$B$586;2);PANGKAT(Normalisasi!$K$17-Konvergensi!$C$586;2);PANGKAT(Normalisasi!$L$17-Konvergensi!$D$586;2);PANGKAT(Normalisasi!$M$17-Konvergensi!$E$586;2);PANGKAT(Normalisasi!$N$17-Konvergensi!$F$586;2);PANGKAT(Normalisasi!$O$17-Konvergensi!$G$586;2);PANGKAT(Normalisasi!$P$17-Konvergensi!$H$586;2));0))</f>
        <v/>
      </c>
      <c r="H546" t="n">
        <v>1</v>
      </c>
      <c r="I546" t="n">
        <v>3.761388872614771</v>
      </c>
    </row>
    <row r="547">
      <c r="A547">
        <f>Data_Awal!A18</f>
        <v/>
      </c>
      <c r="B547">
        <f>Data_Awal!B18</f>
        <v/>
      </c>
      <c r="C547">
        <f>AKAR(JUMLAH(PANGKAT(Normalisasi!$J$18-Konvergensi!$B$519;2);PANGKAT(Normalisasi!$K$18-Konvergensi!$C$519;2);PANGKAT(Normalisasi!$L$18-Konvergensi!$D$519;2);PANGKAT(Normalisasi!$M$18-Konvergensi!$E$519;2);PANGKAT(Normalisasi!$N$18-Konvergensi!$F$519;2);PANGKAT(Normalisasi!$O$18-Konvergensi!$G$519;2);PANGKAT(Normalisasi!$P$18-Konvergensi!$H$519;2)))</f>
        <v/>
      </c>
      <c r="D547">
        <f>AKAR(JUMLAH(PANGKAT(Normalisasi!$J$18-Konvergensi!$B$520;2);PANGKAT(Normalisasi!$K$18-Konvergensi!$C$520;2);PANGKAT(Normalisasi!$L$18-Konvergensi!$D$520;2);PANGKAT(Normalisasi!$M$18-Konvergensi!$E$520;2);PANGKAT(Normalisasi!$N$18-Konvergensi!$F$520;2);PANGKAT(Normalisasi!$O$18-Konvergensi!$G$520;2);PANGKAT(Normalisasi!$P$18-Konvergensi!$H$520;2)))</f>
        <v/>
      </c>
      <c r="E547">
        <f>AKAR(JUMLAH(PANGKAT(Normalisasi!$J$18-Konvergensi!$B$521;2);PANGKAT(Normalisasi!$K$18-Konvergensi!$C$521;2);PANGKAT(Normalisasi!$L$18-Konvergensi!$D$521;2);PANGKAT(Normalisasi!$M$18-Konvergensi!$E$521;2);PANGKAT(Normalisasi!$N$18-Konvergensi!$F$521;2);PANGKAT(Normalisasi!$O$18-Konvergensi!$G$521;2);PANGKAT(Normalisasi!$P$18-Konvergensi!$H$521;2)))</f>
        <v/>
      </c>
      <c r="F547">
        <f>JIKA(C547&lt;=D547;=JIKA(C547&lt;=E547;0;2);=JIKA(D547&lt;=E547;1;2))</f>
        <v/>
      </c>
      <c r="G547">
        <f>JUMLAH(JIKA(F547=0;JUMLAH(PANGKAT(Normalisasi!$J$18-Konvergensi!$B$584;2);PANGKAT(Normalisasi!$K$18-Konvergensi!$C$584;2);PANGKAT(Normalisasi!$L$18-Konvergensi!$D$584;2);PANGKAT(Normalisasi!$M$18-Konvergensi!$E$584;2);PANGKAT(Normalisasi!$N$18-Konvergensi!$F$584;2);PANGKAT(Normalisasi!$O$18-Konvergensi!$G$584;2);PANGKAT(Normalisasi!$P$18-Konvergensi!$H$584;2));0);JIKA(F547=1;JUMLAH(PANGKAT(Normalisasi!$J$18-Konvergensi!$B$585;2);PANGKAT(Normalisasi!$K$18-Konvergensi!$C$585;2);PANGKAT(Normalisasi!$L$18-Konvergensi!$D$585;2);PANGKAT(Normalisasi!$M$18-Konvergensi!$E$585;2);PANGKAT(Normalisasi!$N$18-Konvergensi!$F$585;2);PANGKAT(Normalisasi!$O$18-Konvergensi!$G$585;2);PANGKAT(Normalisasi!$P$18-Konvergensi!$H$585;2));0);JIKA(F547=2;JUMLAH(PANGKAT(Normalisasi!$J$18-Konvergensi!$B$586;2);PANGKAT(Normalisasi!$K$18-Konvergensi!$C$586;2);PANGKAT(Normalisasi!$L$18-Konvergensi!$D$586;2);PANGKAT(Normalisasi!$M$18-Konvergensi!$E$586;2);PANGKAT(Normalisasi!$N$18-Konvergensi!$F$586;2);PANGKAT(Normalisasi!$O$18-Konvergensi!$G$586;2);PANGKAT(Normalisasi!$P$18-Konvergensi!$H$586;2));0))</f>
        <v/>
      </c>
      <c r="H547" t="n">
        <v>0</v>
      </c>
      <c r="I547" t="n">
        <v>6.407850994806384</v>
      </c>
    </row>
    <row r="548">
      <c r="A548">
        <f>Data_Awal!A19</f>
        <v/>
      </c>
      <c r="B548">
        <f>Data_Awal!B19</f>
        <v/>
      </c>
      <c r="C548">
        <f>AKAR(JUMLAH(PANGKAT(Normalisasi!$J$19-Konvergensi!$B$519;2);PANGKAT(Normalisasi!$K$19-Konvergensi!$C$519;2);PANGKAT(Normalisasi!$L$19-Konvergensi!$D$519;2);PANGKAT(Normalisasi!$M$19-Konvergensi!$E$519;2);PANGKAT(Normalisasi!$N$19-Konvergensi!$F$519;2);PANGKAT(Normalisasi!$O$19-Konvergensi!$G$519;2);PANGKAT(Normalisasi!$P$19-Konvergensi!$H$519;2)))</f>
        <v/>
      </c>
      <c r="D548">
        <f>AKAR(JUMLAH(PANGKAT(Normalisasi!$J$19-Konvergensi!$B$520;2);PANGKAT(Normalisasi!$K$19-Konvergensi!$C$520;2);PANGKAT(Normalisasi!$L$19-Konvergensi!$D$520;2);PANGKAT(Normalisasi!$M$19-Konvergensi!$E$520;2);PANGKAT(Normalisasi!$N$19-Konvergensi!$F$520;2);PANGKAT(Normalisasi!$O$19-Konvergensi!$G$520;2);PANGKAT(Normalisasi!$P$19-Konvergensi!$H$520;2)))</f>
        <v/>
      </c>
      <c r="E548">
        <f>AKAR(JUMLAH(PANGKAT(Normalisasi!$J$19-Konvergensi!$B$521;2);PANGKAT(Normalisasi!$K$19-Konvergensi!$C$521;2);PANGKAT(Normalisasi!$L$19-Konvergensi!$D$521;2);PANGKAT(Normalisasi!$M$19-Konvergensi!$E$521;2);PANGKAT(Normalisasi!$N$19-Konvergensi!$F$521;2);PANGKAT(Normalisasi!$O$19-Konvergensi!$G$521;2);PANGKAT(Normalisasi!$P$19-Konvergensi!$H$521;2)))</f>
        <v/>
      </c>
      <c r="F548">
        <f>JIKA(C548&lt;=D548;=JIKA(C548&lt;=E548;0;2);=JIKA(D548&lt;=E548;1;2))</f>
        <v/>
      </c>
      <c r="G548">
        <f>JUMLAH(JIKA(F548=0;JUMLAH(PANGKAT(Normalisasi!$J$19-Konvergensi!$B$584;2);PANGKAT(Normalisasi!$K$19-Konvergensi!$C$584;2);PANGKAT(Normalisasi!$L$19-Konvergensi!$D$584;2);PANGKAT(Normalisasi!$M$19-Konvergensi!$E$584;2);PANGKAT(Normalisasi!$N$19-Konvergensi!$F$584;2);PANGKAT(Normalisasi!$O$19-Konvergensi!$G$584;2);PANGKAT(Normalisasi!$P$19-Konvergensi!$H$584;2));0);JIKA(F548=1;JUMLAH(PANGKAT(Normalisasi!$J$19-Konvergensi!$B$585;2);PANGKAT(Normalisasi!$K$19-Konvergensi!$C$585;2);PANGKAT(Normalisasi!$L$19-Konvergensi!$D$585;2);PANGKAT(Normalisasi!$M$19-Konvergensi!$E$585;2);PANGKAT(Normalisasi!$N$19-Konvergensi!$F$585;2);PANGKAT(Normalisasi!$O$19-Konvergensi!$G$585;2);PANGKAT(Normalisasi!$P$19-Konvergensi!$H$585;2));0);JIKA(F548=2;JUMLAH(PANGKAT(Normalisasi!$J$19-Konvergensi!$B$586;2);PANGKAT(Normalisasi!$K$19-Konvergensi!$C$586;2);PANGKAT(Normalisasi!$L$19-Konvergensi!$D$586;2);PANGKAT(Normalisasi!$M$19-Konvergensi!$E$586;2);PANGKAT(Normalisasi!$N$19-Konvergensi!$F$586;2);PANGKAT(Normalisasi!$O$19-Konvergensi!$G$586;2);PANGKAT(Normalisasi!$P$19-Konvergensi!$H$586;2));0))</f>
        <v/>
      </c>
      <c r="H548" t="n">
        <v>0</v>
      </c>
      <c r="I548" t="n">
        <v>1.495771002680851</v>
      </c>
    </row>
    <row r="549">
      <c r="A549">
        <f>Data_Awal!A20</f>
        <v/>
      </c>
      <c r="B549">
        <f>Data_Awal!B20</f>
        <v/>
      </c>
      <c r="C549">
        <f>AKAR(JUMLAH(PANGKAT(Normalisasi!$J$20-Konvergensi!$B$519;2);PANGKAT(Normalisasi!$K$20-Konvergensi!$C$519;2);PANGKAT(Normalisasi!$L$20-Konvergensi!$D$519;2);PANGKAT(Normalisasi!$M$20-Konvergensi!$E$519;2);PANGKAT(Normalisasi!$N$20-Konvergensi!$F$519;2);PANGKAT(Normalisasi!$O$20-Konvergensi!$G$519;2);PANGKAT(Normalisasi!$P$20-Konvergensi!$H$519;2)))</f>
        <v/>
      </c>
      <c r="D549">
        <f>AKAR(JUMLAH(PANGKAT(Normalisasi!$J$20-Konvergensi!$B$520;2);PANGKAT(Normalisasi!$K$20-Konvergensi!$C$520;2);PANGKAT(Normalisasi!$L$20-Konvergensi!$D$520;2);PANGKAT(Normalisasi!$M$20-Konvergensi!$E$520;2);PANGKAT(Normalisasi!$N$20-Konvergensi!$F$520;2);PANGKAT(Normalisasi!$O$20-Konvergensi!$G$520;2);PANGKAT(Normalisasi!$P$20-Konvergensi!$H$520;2)))</f>
        <v/>
      </c>
      <c r="E549">
        <f>AKAR(JUMLAH(PANGKAT(Normalisasi!$J$20-Konvergensi!$B$521;2);PANGKAT(Normalisasi!$K$20-Konvergensi!$C$521;2);PANGKAT(Normalisasi!$L$20-Konvergensi!$D$521;2);PANGKAT(Normalisasi!$M$20-Konvergensi!$E$521;2);PANGKAT(Normalisasi!$N$20-Konvergensi!$F$521;2);PANGKAT(Normalisasi!$O$20-Konvergensi!$G$521;2);PANGKAT(Normalisasi!$P$20-Konvergensi!$H$521;2)))</f>
        <v/>
      </c>
      <c r="F549">
        <f>JIKA(C549&lt;=D549;=JIKA(C549&lt;=E549;0;2);=JIKA(D549&lt;=E549;1;2))</f>
        <v/>
      </c>
      <c r="G549">
        <f>JUMLAH(JIKA(F549=0;JUMLAH(PANGKAT(Normalisasi!$J$20-Konvergensi!$B$584;2);PANGKAT(Normalisasi!$K$20-Konvergensi!$C$584;2);PANGKAT(Normalisasi!$L$20-Konvergensi!$D$584;2);PANGKAT(Normalisasi!$M$20-Konvergensi!$E$584;2);PANGKAT(Normalisasi!$N$20-Konvergensi!$F$584;2);PANGKAT(Normalisasi!$O$20-Konvergensi!$G$584;2);PANGKAT(Normalisasi!$P$20-Konvergensi!$H$584;2));0);JIKA(F549=1;JUMLAH(PANGKAT(Normalisasi!$J$20-Konvergensi!$B$585;2);PANGKAT(Normalisasi!$K$20-Konvergensi!$C$585;2);PANGKAT(Normalisasi!$L$20-Konvergensi!$D$585;2);PANGKAT(Normalisasi!$M$20-Konvergensi!$E$585;2);PANGKAT(Normalisasi!$N$20-Konvergensi!$F$585;2);PANGKAT(Normalisasi!$O$20-Konvergensi!$G$585;2);PANGKAT(Normalisasi!$P$20-Konvergensi!$H$585;2));0);JIKA(F549=2;JUMLAH(PANGKAT(Normalisasi!$J$20-Konvergensi!$B$586;2);PANGKAT(Normalisasi!$K$20-Konvergensi!$C$586;2);PANGKAT(Normalisasi!$L$20-Konvergensi!$D$586;2);PANGKAT(Normalisasi!$M$20-Konvergensi!$E$586;2);PANGKAT(Normalisasi!$N$20-Konvergensi!$F$586;2);PANGKAT(Normalisasi!$O$20-Konvergensi!$G$586;2);PANGKAT(Normalisasi!$P$20-Konvergensi!$H$586;2));0))</f>
        <v/>
      </c>
      <c r="H549" t="n">
        <v>0</v>
      </c>
      <c r="I549" t="n">
        <v>4.43185941552152</v>
      </c>
    </row>
    <row r="550">
      <c r="A550">
        <f>Data_Awal!A21</f>
        <v/>
      </c>
      <c r="B550">
        <f>Data_Awal!B21</f>
        <v/>
      </c>
      <c r="C550">
        <f>AKAR(JUMLAH(PANGKAT(Normalisasi!$J$21-Konvergensi!$B$519;2);PANGKAT(Normalisasi!$K$21-Konvergensi!$C$519;2);PANGKAT(Normalisasi!$L$21-Konvergensi!$D$519;2);PANGKAT(Normalisasi!$M$21-Konvergensi!$E$519;2);PANGKAT(Normalisasi!$N$21-Konvergensi!$F$519;2);PANGKAT(Normalisasi!$O$21-Konvergensi!$G$519;2);PANGKAT(Normalisasi!$P$21-Konvergensi!$H$519;2)))</f>
        <v/>
      </c>
      <c r="D550">
        <f>AKAR(JUMLAH(PANGKAT(Normalisasi!$J$21-Konvergensi!$B$520;2);PANGKAT(Normalisasi!$K$21-Konvergensi!$C$520;2);PANGKAT(Normalisasi!$L$21-Konvergensi!$D$520;2);PANGKAT(Normalisasi!$M$21-Konvergensi!$E$520;2);PANGKAT(Normalisasi!$N$21-Konvergensi!$F$520;2);PANGKAT(Normalisasi!$O$21-Konvergensi!$G$520;2);PANGKAT(Normalisasi!$P$21-Konvergensi!$H$520;2)))</f>
        <v/>
      </c>
      <c r="E550">
        <f>AKAR(JUMLAH(PANGKAT(Normalisasi!$J$21-Konvergensi!$B$521;2);PANGKAT(Normalisasi!$K$21-Konvergensi!$C$521;2);PANGKAT(Normalisasi!$L$21-Konvergensi!$D$521;2);PANGKAT(Normalisasi!$M$21-Konvergensi!$E$521;2);PANGKAT(Normalisasi!$N$21-Konvergensi!$F$521;2);PANGKAT(Normalisasi!$O$21-Konvergensi!$G$521;2);PANGKAT(Normalisasi!$P$21-Konvergensi!$H$521;2)))</f>
        <v/>
      </c>
      <c r="F550">
        <f>JIKA(C550&lt;=D550;=JIKA(C550&lt;=E550;0;2);=JIKA(D550&lt;=E550;1;2))</f>
        <v/>
      </c>
      <c r="G550">
        <f>JUMLAH(JIKA(F550=0;JUMLAH(PANGKAT(Normalisasi!$J$21-Konvergensi!$B$584;2);PANGKAT(Normalisasi!$K$21-Konvergensi!$C$584;2);PANGKAT(Normalisasi!$L$21-Konvergensi!$D$584;2);PANGKAT(Normalisasi!$M$21-Konvergensi!$E$584;2);PANGKAT(Normalisasi!$N$21-Konvergensi!$F$584;2);PANGKAT(Normalisasi!$O$21-Konvergensi!$G$584;2);PANGKAT(Normalisasi!$P$21-Konvergensi!$H$584;2));0);JIKA(F550=1;JUMLAH(PANGKAT(Normalisasi!$J$21-Konvergensi!$B$585;2);PANGKAT(Normalisasi!$K$21-Konvergensi!$C$585;2);PANGKAT(Normalisasi!$L$21-Konvergensi!$D$585;2);PANGKAT(Normalisasi!$M$21-Konvergensi!$E$585;2);PANGKAT(Normalisasi!$N$21-Konvergensi!$F$585;2);PANGKAT(Normalisasi!$O$21-Konvergensi!$G$585;2);PANGKAT(Normalisasi!$P$21-Konvergensi!$H$585;2));0);JIKA(F550=2;JUMLAH(PANGKAT(Normalisasi!$J$21-Konvergensi!$B$586;2);PANGKAT(Normalisasi!$K$21-Konvergensi!$C$586;2);PANGKAT(Normalisasi!$L$21-Konvergensi!$D$586;2);PANGKAT(Normalisasi!$M$21-Konvergensi!$E$586;2);PANGKAT(Normalisasi!$N$21-Konvergensi!$F$586;2);PANGKAT(Normalisasi!$O$21-Konvergensi!$G$586;2);PANGKAT(Normalisasi!$P$21-Konvergensi!$H$586;2));0))</f>
        <v/>
      </c>
      <c r="H550" t="n">
        <v>2</v>
      </c>
      <c r="I550" t="n">
        <v>7.34967423694961</v>
      </c>
    </row>
    <row r="551">
      <c r="A551">
        <f>Data_Awal!A22</f>
        <v/>
      </c>
      <c r="B551">
        <f>Data_Awal!B22</f>
        <v/>
      </c>
      <c r="C551">
        <f>AKAR(JUMLAH(PANGKAT(Normalisasi!$J$22-Konvergensi!$B$519;2);PANGKAT(Normalisasi!$K$22-Konvergensi!$C$519;2);PANGKAT(Normalisasi!$L$22-Konvergensi!$D$519;2);PANGKAT(Normalisasi!$M$22-Konvergensi!$E$519;2);PANGKAT(Normalisasi!$N$22-Konvergensi!$F$519;2);PANGKAT(Normalisasi!$O$22-Konvergensi!$G$519;2);PANGKAT(Normalisasi!$P$22-Konvergensi!$H$519;2)))</f>
        <v/>
      </c>
      <c r="D551">
        <f>AKAR(JUMLAH(PANGKAT(Normalisasi!$J$22-Konvergensi!$B$520;2);PANGKAT(Normalisasi!$K$22-Konvergensi!$C$520;2);PANGKAT(Normalisasi!$L$22-Konvergensi!$D$520;2);PANGKAT(Normalisasi!$M$22-Konvergensi!$E$520;2);PANGKAT(Normalisasi!$N$22-Konvergensi!$F$520;2);PANGKAT(Normalisasi!$O$22-Konvergensi!$G$520;2);PANGKAT(Normalisasi!$P$22-Konvergensi!$H$520;2)))</f>
        <v/>
      </c>
      <c r="E551">
        <f>AKAR(JUMLAH(PANGKAT(Normalisasi!$J$22-Konvergensi!$B$521;2);PANGKAT(Normalisasi!$K$22-Konvergensi!$C$521;2);PANGKAT(Normalisasi!$L$22-Konvergensi!$D$521;2);PANGKAT(Normalisasi!$M$22-Konvergensi!$E$521;2);PANGKAT(Normalisasi!$N$22-Konvergensi!$F$521;2);PANGKAT(Normalisasi!$O$22-Konvergensi!$G$521;2);PANGKAT(Normalisasi!$P$22-Konvergensi!$H$521;2)))</f>
        <v/>
      </c>
      <c r="F551">
        <f>JIKA(C551&lt;=D551;=JIKA(C551&lt;=E551;0;2);=JIKA(D551&lt;=E551;1;2))</f>
        <v/>
      </c>
      <c r="G551">
        <f>JUMLAH(JIKA(F551=0;JUMLAH(PANGKAT(Normalisasi!$J$22-Konvergensi!$B$584;2);PANGKAT(Normalisasi!$K$22-Konvergensi!$C$584;2);PANGKAT(Normalisasi!$L$22-Konvergensi!$D$584;2);PANGKAT(Normalisasi!$M$22-Konvergensi!$E$584;2);PANGKAT(Normalisasi!$N$22-Konvergensi!$F$584;2);PANGKAT(Normalisasi!$O$22-Konvergensi!$G$584;2);PANGKAT(Normalisasi!$P$22-Konvergensi!$H$584;2));0);JIKA(F551=1;JUMLAH(PANGKAT(Normalisasi!$J$22-Konvergensi!$B$585;2);PANGKAT(Normalisasi!$K$22-Konvergensi!$C$585;2);PANGKAT(Normalisasi!$L$22-Konvergensi!$D$585;2);PANGKAT(Normalisasi!$M$22-Konvergensi!$E$585;2);PANGKAT(Normalisasi!$N$22-Konvergensi!$F$585;2);PANGKAT(Normalisasi!$O$22-Konvergensi!$G$585;2);PANGKAT(Normalisasi!$P$22-Konvergensi!$H$585;2));0);JIKA(F551=2;JUMLAH(PANGKAT(Normalisasi!$J$22-Konvergensi!$B$586;2);PANGKAT(Normalisasi!$K$22-Konvergensi!$C$586;2);PANGKAT(Normalisasi!$L$22-Konvergensi!$D$586;2);PANGKAT(Normalisasi!$M$22-Konvergensi!$E$586;2);PANGKAT(Normalisasi!$N$22-Konvergensi!$F$586;2);PANGKAT(Normalisasi!$O$22-Konvergensi!$G$586;2);PANGKAT(Normalisasi!$P$22-Konvergensi!$H$586;2));0))</f>
        <v/>
      </c>
      <c r="H551" t="n">
        <v>2</v>
      </c>
      <c r="I551" t="n">
        <v>7.221739946949572</v>
      </c>
    </row>
    <row r="552">
      <c r="A552">
        <f>Data_Awal!A23</f>
        <v/>
      </c>
      <c r="B552">
        <f>Data_Awal!B23</f>
        <v/>
      </c>
      <c r="C552">
        <f>AKAR(JUMLAH(PANGKAT(Normalisasi!$J$23-Konvergensi!$B$519;2);PANGKAT(Normalisasi!$K$23-Konvergensi!$C$519;2);PANGKAT(Normalisasi!$L$23-Konvergensi!$D$519;2);PANGKAT(Normalisasi!$M$23-Konvergensi!$E$519;2);PANGKAT(Normalisasi!$N$23-Konvergensi!$F$519;2);PANGKAT(Normalisasi!$O$23-Konvergensi!$G$519;2);PANGKAT(Normalisasi!$P$23-Konvergensi!$H$519;2)))</f>
        <v/>
      </c>
      <c r="D552">
        <f>AKAR(JUMLAH(PANGKAT(Normalisasi!$J$23-Konvergensi!$B$520;2);PANGKAT(Normalisasi!$K$23-Konvergensi!$C$520;2);PANGKAT(Normalisasi!$L$23-Konvergensi!$D$520;2);PANGKAT(Normalisasi!$M$23-Konvergensi!$E$520;2);PANGKAT(Normalisasi!$N$23-Konvergensi!$F$520;2);PANGKAT(Normalisasi!$O$23-Konvergensi!$G$520;2);PANGKAT(Normalisasi!$P$23-Konvergensi!$H$520;2)))</f>
        <v/>
      </c>
      <c r="E552">
        <f>AKAR(JUMLAH(PANGKAT(Normalisasi!$J$23-Konvergensi!$B$521;2);PANGKAT(Normalisasi!$K$23-Konvergensi!$C$521;2);PANGKAT(Normalisasi!$L$23-Konvergensi!$D$521;2);PANGKAT(Normalisasi!$M$23-Konvergensi!$E$521;2);PANGKAT(Normalisasi!$N$23-Konvergensi!$F$521;2);PANGKAT(Normalisasi!$O$23-Konvergensi!$G$521;2);PANGKAT(Normalisasi!$P$23-Konvergensi!$H$521;2)))</f>
        <v/>
      </c>
      <c r="F552">
        <f>JIKA(C552&lt;=D552;=JIKA(C552&lt;=E552;0;2);=JIKA(D552&lt;=E552;1;2))</f>
        <v/>
      </c>
      <c r="G552">
        <f>JUMLAH(JIKA(F552=0;JUMLAH(PANGKAT(Normalisasi!$J$23-Konvergensi!$B$584;2);PANGKAT(Normalisasi!$K$23-Konvergensi!$C$584;2);PANGKAT(Normalisasi!$L$23-Konvergensi!$D$584;2);PANGKAT(Normalisasi!$M$23-Konvergensi!$E$584;2);PANGKAT(Normalisasi!$N$23-Konvergensi!$F$584;2);PANGKAT(Normalisasi!$O$23-Konvergensi!$G$584;2);PANGKAT(Normalisasi!$P$23-Konvergensi!$H$584;2));0);JIKA(F552=1;JUMLAH(PANGKAT(Normalisasi!$J$23-Konvergensi!$B$585;2);PANGKAT(Normalisasi!$K$23-Konvergensi!$C$585;2);PANGKAT(Normalisasi!$L$23-Konvergensi!$D$585;2);PANGKAT(Normalisasi!$M$23-Konvergensi!$E$585;2);PANGKAT(Normalisasi!$N$23-Konvergensi!$F$585;2);PANGKAT(Normalisasi!$O$23-Konvergensi!$G$585;2);PANGKAT(Normalisasi!$P$23-Konvergensi!$H$585;2));0);JIKA(F552=2;JUMLAH(PANGKAT(Normalisasi!$J$23-Konvergensi!$B$586;2);PANGKAT(Normalisasi!$K$23-Konvergensi!$C$586;2);PANGKAT(Normalisasi!$L$23-Konvergensi!$D$586;2);PANGKAT(Normalisasi!$M$23-Konvergensi!$E$586;2);PANGKAT(Normalisasi!$N$23-Konvergensi!$F$586;2);PANGKAT(Normalisasi!$O$23-Konvergensi!$G$586;2);PANGKAT(Normalisasi!$P$23-Konvergensi!$H$586;2));0))</f>
        <v/>
      </c>
      <c r="H552" t="n">
        <v>1</v>
      </c>
      <c r="I552" t="n">
        <v>6.57222347755811</v>
      </c>
    </row>
    <row r="553">
      <c r="A553">
        <f>Data_Awal!A24</f>
        <v/>
      </c>
      <c r="B553">
        <f>Data_Awal!B24</f>
        <v/>
      </c>
      <c r="C553">
        <f>AKAR(JUMLAH(PANGKAT(Normalisasi!$J$24-Konvergensi!$B$519;2);PANGKAT(Normalisasi!$K$24-Konvergensi!$C$519;2);PANGKAT(Normalisasi!$L$24-Konvergensi!$D$519;2);PANGKAT(Normalisasi!$M$24-Konvergensi!$E$519;2);PANGKAT(Normalisasi!$N$24-Konvergensi!$F$519;2);PANGKAT(Normalisasi!$O$24-Konvergensi!$G$519;2);PANGKAT(Normalisasi!$P$24-Konvergensi!$H$519;2)))</f>
        <v/>
      </c>
      <c r="D553">
        <f>AKAR(JUMLAH(PANGKAT(Normalisasi!$J$24-Konvergensi!$B$520;2);PANGKAT(Normalisasi!$K$24-Konvergensi!$C$520;2);PANGKAT(Normalisasi!$L$24-Konvergensi!$D$520;2);PANGKAT(Normalisasi!$M$24-Konvergensi!$E$520;2);PANGKAT(Normalisasi!$N$24-Konvergensi!$F$520;2);PANGKAT(Normalisasi!$O$24-Konvergensi!$G$520;2);PANGKAT(Normalisasi!$P$24-Konvergensi!$H$520;2)))</f>
        <v/>
      </c>
      <c r="E553">
        <f>AKAR(JUMLAH(PANGKAT(Normalisasi!$J$24-Konvergensi!$B$521;2);PANGKAT(Normalisasi!$K$24-Konvergensi!$C$521;2);PANGKAT(Normalisasi!$L$24-Konvergensi!$D$521;2);PANGKAT(Normalisasi!$M$24-Konvergensi!$E$521;2);PANGKAT(Normalisasi!$N$24-Konvergensi!$F$521;2);PANGKAT(Normalisasi!$O$24-Konvergensi!$G$521;2);PANGKAT(Normalisasi!$P$24-Konvergensi!$H$521;2)))</f>
        <v/>
      </c>
      <c r="F553">
        <f>JIKA(C553&lt;=D553;=JIKA(C553&lt;=E553;0;2);=JIKA(D553&lt;=E553;1;2))</f>
        <v/>
      </c>
      <c r="G553">
        <f>JUMLAH(JIKA(F553=0;JUMLAH(PANGKAT(Normalisasi!$J$24-Konvergensi!$B$584;2);PANGKAT(Normalisasi!$K$24-Konvergensi!$C$584;2);PANGKAT(Normalisasi!$L$24-Konvergensi!$D$584;2);PANGKAT(Normalisasi!$M$24-Konvergensi!$E$584;2);PANGKAT(Normalisasi!$N$24-Konvergensi!$F$584;2);PANGKAT(Normalisasi!$O$24-Konvergensi!$G$584;2);PANGKAT(Normalisasi!$P$24-Konvergensi!$H$584;2));0);JIKA(F553=1;JUMLAH(PANGKAT(Normalisasi!$J$24-Konvergensi!$B$585;2);PANGKAT(Normalisasi!$K$24-Konvergensi!$C$585;2);PANGKAT(Normalisasi!$L$24-Konvergensi!$D$585;2);PANGKAT(Normalisasi!$M$24-Konvergensi!$E$585;2);PANGKAT(Normalisasi!$N$24-Konvergensi!$F$585;2);PANGKAT(Normalisasi!$O$24-Konvergensi!$G$585;2);PANGKAT(Normalisasi!$P$24-Konvergensi!$H$585;2));0);JIKA(F553=2;JUMLAH(PANGKAT(Normalisasi!$J$24-Konvergensi!$B$586;2);PANGKAT(Normalisasi!$K$24-Konvergensi!$C$586;2);PANGKAT(Normalisasi!$L$24-Konvergensi!$D$586;2);PANGKAT(Normalisasi!$M$24-Konvergensi!$E$586;2);PANGKAT(Normalisasi!$N$24-Konvergensi!$F$586;2);PANGKAT(Normalisasi!$O$24-Konvergensi!$G$586;2);PANGKAT(Normalisasi!$P$24-Konvergensi!$H$586;2));0))</f>
        <v/>
      </c>
      <c r="H553" t="n">
        <v>2</v>
      </c>
      <c r="I553" t="n">
        <v>3.248868700948067</v>
      </c>
    </row>
    <row r="554">
      <c r="A554">
        <f>Data_Awal!A25</f>
        <v/>
      </c>
      <c r="B554">
        <f>Data_Awal!B25</f>
        <v/>
      </c>
      <c r="C554">
        <f>AKAR(JUMLAH(PANGKAT(Normalisasi!$J$25-Konvergensi!$B$519;2);PANGKAT(Normalisasi!$K$25-Konvergensi!$C$519;2);PANGKAT(Normalisasi!$L$25-Konvergensi!$D$519;2);PANGKAT(Normalisasi!$M$25-Konvergensi!$E$519;2);PANGKAT(Normalisasi!$N$25-Konvergensi!$F$519;2);PANGKAT(Normalisasi!$O$25-Konvergensi!$G$519;2);PANGKAT(Normalisasi!$P$25-Konvergensi!$H$519;2)))</f>
        <v/>
      </c>
      <c r="D554">
        <f>AKAR(JUMLAH(PANGKAT(Normalisasi!$J$25-Konvergensi!$B$520;2);PANGKAT(Normalisasi!$K$25-Konvergensi!$C$520;2);PANGKAT(Normalisasi!$L$25-Konvergensi!$D$520;2);PANGKAT(Normalisasi!$M$25-Konvergensi!$E$520;2);PANGKAT(Normalisasi!$N$25-Konvergensi!$F$520;2);PANGKAT(Normalisasi!$O$25-Konvergensi!$G$520;2);PANGKAT(Normalisasi!$P$25-Konvergensi!$H$520;2)))</f>
        <v/>
      </c>
      <c r="E554">
        <f>AKAR(JUMLAH(PANGKAT(Normalisasi!$J$25-Konvergensi!$B$521;2);PANGKAT(Normalisasi!$K$25-Konvergensi!$C$521;2);PANGKAT(Normalisasi!$L$25-Konvergensi!$D$521;2);PANGKAT(Normalisasi!$M$25-Konvergensi!$E$521;2);PANGKAT(Normalisasi!$N$25-Konvergensi!$F$521;2);PANGKAT(Normalisasi!$O$25-Konvergensi!$G$521;2);PANGKAT(Normalisasi!$P$25-Konvergensi!$H$521;2)))</f>
        <v/>
      </c>
      <c r="F554">
        <f>JIKA(C554&lt;=D554;=JIKA(C554&lt;=E554;0;2);=JIKA(D554&lt;=E554;1;2))</f>
        <v/>
      </c>
      <c r="G554">
        <f>JUMLAH(JIKA(F554=0;JUMLAH(PANGKAT(Normalisasi!$J$25-Konvergensi!$B$584;2);PANGKAT(Normalisasi!$K$25-Konvergensi!$C$584;2);PANGKAT(Normalisasi!$L$25-Konvergensi!$D$584;2);PANGKAT(Normalisasi!$M$25-Konvergensi!$E$584;2);PANGKAT(Normalisasi!$N$25-Konvergensi!$F$584;2);PANGKAT(Normalisasi!$O$25-Konvergensi!$G$584;2);PANGKAT(Normalisasi!$P$25-Konvergensi!$H$584;2));0);JIKA(F554=1;JUMLAH(PANGKAT(Normalisasi!$J$25-Konvergensi!$B$585;2);PANGKAT(Normalisasi!$K$25-Konvergensi!$C$585;2);PANGKAT(Normalisasi!$L$25-Konvergensi!$D$585;2);PANGKAT(Normalisasi!$M$25-Konvergensi!$E$585;2);PANGKAT(Normalisasi!$N$25-Konvergensi!$F$585;2);PANGKAT(Normalisasi!$O$25-Konvergensi!$G$585;2);PANGKAT(Normalisasi!$P$25-Konvergensi!$H$585;2));0);JIKA(F554=2;JUMLAH(PANGKAT(Normalisasi!$J$25-Konvergensi!$B$586;2);PANGKAT(Normalisasi!$K$25-Konvergensi!$C$586;2);PANGKAT(Normalisasi!$L$25-Konvergensi!$D$586;2);PANGKAT(Normalisasi!$M$25-Konvergensi!$E$586;2);PANGKAT(Normalisasi!$N$25-Konvergensi!$F$586;2);PANGKAT(Normalisasi!$O$25-Konvergensi!$G$586;2);PANGKAT(Normalisasi!$P$25-Konvergensi!$H$586;2));0))</f>
        <v/>
      </c>
      <c r="H554" t="n">
        <v>1</v>
      </c>
      <c r="I554" t="n">
        <v>3.968300998423876</v>
      </c>
    </row>
    <row r="555">
      <c r="A555">
        <f>Data_Awal!A26</f>
        <v/>
      </c>
      <c r="B555">
        <f>Data_Awal!B26</f>
        <v/>
      </c>
      <c r="C555">
        <f>AKAR(JUMLAH(PANGKAT(Normalisasi!$J$26-Konvergensi!$B$519;2);PANGKAT(Normalisasi!$K$26-Konvergensi!$C$519;2);PANGKAT(Normalisasi!$L$26-Konvergensi!$D$519;2);PANGKAT(Normalisasi!$M$26-Konvergensi!$E$519;2);PANGKAT(Normalisasi!$N$26-Konvergensi!$F$519;2);PANGKAT(Normalisasi!$O$26-Konvergensi!$G$519;2);PANGKAT(Normalisasi!$P$26-Konvergensi!$H$519;2)))</f>
        <v/>
      </c>
      <c r="D555">
        <f>AKAR(JUMLAH(PANGKAT(Normalisasi!$J$26-Konvergensi!$B$520;2);PANGKAT(Normalisasi!$K$26-Konvergensi!$C$520;2);PANGKAT(Normalisasi!$L$26-Konvergensi!$D$520;2);PANGKAT(Normalisasi!$M$26-Konvergensi!$E$520;2);PANGKAT(Normalisasi!$N$26-Konvergensi!$F$520;2);PANGKAT(Normalisasi!$O$26-Konvergensi!$G$520;2);PANGKAT(Normalisasi!$P$26-Konvergensi!$H$520;2)))</f>
        <v/>
      </c>
      <c r="E555">
        <f>AKAR(JUMLAH(PANGKAT(Normalisasi!$J$26-Konvergensi!$B$521;2);PANGKAT(Normalisasi!$K$26-Konvergensi!$C$521;2);PANGKAT(Normalisasi!$L$26-Konvergensi!$D$521;2);PANGKAT(Normalisasi!$M$26-Konvergensi!$E$521;2);PANGKAT(Normalisasi!$N$26-Konvergensi!$F$521;2);PANGKAT(Normalisasi!$O$26-Konvergensi!$G$521;2);PANGKAT(Normalisasi!$P$26-Konvergensi!$H$521;2)))</f>
        <v/>
      </c>
      <c r="F555">
        <f>JIKA(C555&lt;=D555;=JIKA(C555&lt;=E555;0;2);=JIKA(D555&lt;=E555;1;2))</f>
        <v/>
      </c>
      <c r="G555">
        <f>JUMLAH(JIKA(F555=0;JUMLAH(PANGKAT(Normalisasi!$J$26-Konvergensi!$B$584;2);PANGKAT(Normalisasi!$K$26-Konvergensi!$C$584;2);PANGKAT(Normalisasi!$L$26-Konvergensi!$D$584;2);PANGKAT(Normalisasi!$M$26-Konvergensi!$E$584;2);PANGKAT(Normalisasi!$N$26-Konvergensi!$F$584;2);PANGKAT(Normalisasi!$O$26-Konvergensi!$G$584;2);PANGKAT(Normalisasi!$P$26-Konvergensi!$H$584;2));0);JIKA(F555=1;JUMLAH(PANGKAT(Normalisasi!$J$26-Konvergensi!$B$585;2);PANGKAT(Normalisasi!$K$26-Konvergensi!$C$585;2);PANGKAT(Normalisasi!$L$26-Konvergensi!$D$585;2);PANGKAT(Normalisasi!$M$26-Konvergensi!$E$585;2);PANGKAT(Normalisasi!$N$26-Konvergensi!$F$585;2);PANGKAT(Normalisasi!$O$26-Konvergensi!$G$585;2);PANGKAT(Normalisasi!$P$26-Konvergensi!$H$585;2));0);JIKA(F555=2;JUMLAH(PANGKAT(Normalisasi!$J$26-Konvergensi!$B$586;2);PANGKAT(Normalisasi!$K$26-Konvergensi!$C$586;2);PANGKAT(Normalisasi!$L$26-Konvergensi!$D$586;2);PANGKAT(Normalisasi!$M$26-Konvergensi!$E$586;2);PANGKAT(Normalisasi!$N$26-Konvergensi!$F$586;2);PANGKAT(Normalisasi!$O$26-Konvergensi!$G$586;2);PANGKAT(Normalisasi!$P$26-Konvergensi!$H$586;2));0))</f>
        <v/>
      </c>
      <c r="H555" t="n">
        <v>2</v>
      </c>
      <c r="I555" t="n">
        <v>5.510002325965106</v>
      </c>
    </row>
    <row r="556">
      <c r="A556">
        <f>Data_Awal!A27</f>
        <v/>
      </c>
      <c r="B556">
        <f>Data_Awal!B27</f>
        <v/>
      </c>
      <c r="C556">
        <f>AKAR(JUMLAH(PANGKAT(Normalisasi!$J$27-Konvergensi!$B$519;2);PANGKAT(Normalisasi!$K$27-Konvergensi!$C$519;2);PANGKAT(Normalisasi!$L$27-Konvergensi!$D$519;2);PANGKAT(Normalisasi!$M$27-Konvergensi!$E$519;2);PANGKAT(Normalisasi!$N$27-Konvergensi!$F$519;2);PANGKAT(Normalisasi!$O$27-Konvergensi!$G$519;2);PANGKAT(Normalisasi!$P$27-Konvergensi!$H$519;2)))</f>
        <v/>
      </c>
      <c r="D556">
        <f>AKAR(JUMLAH(PANGKAT(Normalisasi!$J$27-Konvergensi!$B$520;2);PANGKAT(Normalisasi!$K$27-Konvergensi!$C$520;2);PANGKAT(Normalisasi!$L$27-Konvergensi!$D$520;2);PANGKAT(Normalisasi!$M$27-Konvergensi!$E$520;2);PANGKAT(Normalisasi!$N$27-Konvergensi!$F$520;2);PANGKAT(Normalisasi!$O$27-Konvergensi!$G$520;2);PANGKAT(Normalisasi!$P$27-Konvergensi!$H$520;2)))</f>
        <v/>
      </c>
      <c r="E556">
        <f>AKAR(JUMLAH(PANGKAT(Normalisasi!$J$27-Konvergensi!$B$521;2);PANGKAT(Normalisasi!$K$27-Konvergensi!$C$521;2);PANGKAT(Normalisasi!$L$27-Konvergensi!$D$521;2);PANGKAT(Normalisasi!$M$27-Konvergensi!$E$521;2);PANGKAT(Normalisasi!$N$27-Konvergensi!$F$521;2);PANGKAT(Normalisasi!$O$27-Konvergensi!$G$521;2);PANGKAT(Normalisasi!$P$27-Konvergensi!$H$521;2)))</f>
        <v/>
      </c>
      <c r="F556">
        <f>JIKA(C556&lt;=D556;=JIKA(C556&lt;=E556;0;2);=JIKA(D556&lt;=E556;1;2))</f>
        <v/>
      </c>
      <c r="G556">
        <f>JUMLAH(JIKA(F556=0;JUMLAH(PANGKAT(Normalisasi!$J$27-Konvergensi!$B$584;2);PANGKAT(Normalisasi!$K$27-Konvergensi!$C$584;2);PANGKAT(Normalisasi!$L$27-Konvergensi!$D$584;2);PANGKAT(Normalisasi!$M$27-Konvergensi!$E$584;2);PANGKAT(Normalisasi!$N$27-Konvergensi!$F$584;2);PANGKAT(Normalisasi!$O$27-Konvergensi!$G$584;2);PANGKAT(Normalisasi!$P$27-Konvergensi!$H$584;2));0);JIKA(F556=1;JUMLAH(PANGKAT(Normalisasi!$J$27-Konvergensi!$B$585;2);PANGKAT(Normalisasi!$K$27-Konvergensi!$C$585;2);PANGKAT(Normalisasi!$L$27-Konvergensi!$D$585;2);PANGKAT(Normalisasi!$M$27-Konvergensi!$E$585;2);PANGKAT(Normalisasi!$N$27-Konvergensi!$F$585;2);PANGKAT(Normalisasi!$O$27-Konvergensi!$G$585;2);PANGKAT(Normalisasi!$P$27-Konvergensi!$H$585;2));0);JIKA(F556=2;JUMLAH(PANGKAT(Normalisasi!$J$27-Konvergensi!$B$586;2);PANGKAT(Normalisasi!$K$27-Konvergensi!$C$586;2);PANGKAT(Normalisasi!$L$27-Konvergensi!$D$586;2);PANGKAT(Normalisasi!$M$27-Konvergensi!$E$586;2);PANGKAT(Normalisasi!$N$27-Konvergensi!$F$586;2);PANGKAT(Normalisasi!$O$27-Konvergensi!$G$586;2);PANGKAT(Normalisasi!$P$27-Konvergensi!$H$586;2));0))</f>
        <v/>
      </c>
      <c r="H556" t="n">
        <v>0</v>
      </c>
      <c r="I556" t="n">
        <v>2.252794508188517</v>
      </c>
    </row>
    <row r="557">
      <c r="A557">
        <f>Data_Awal!A28</f>
        <v/>
      </c>
      <c r="B557">
        <f>Data_Awal!B28</f>
        <v/>
      </c>
      <c r="C557">
        <f>AKAR(JUMLAH(PANGKAT(Normalisasi!$J$28-Konvergensi!$B$519;2);PANGKAT(Normalisasi!$K$28-Konvergensi!$C$519;2);PANGKAT(Normalisasi!$L$28-Konvergensi!$D$519;2);PANGKAT(Normalisasi!$M$28-Konvergensi!$E$519;2);PANGKAT(Normalisasi!$N$28-Konvergensi!$F$519;2);PANGKAT(Normalisasi!$O$28-Konvergensi!$G$519;2);PANGKAT(Normalisasi!$P$28-Konvergensi!$H$519;2)))</f>
        <v/>
      </c>
      <c r="D557">
        <f>AKAR(JUMLAH(PANGKAT(Normalisasi!$J$28-Konvergensi!$B$520;2);PANGKAT(Normalisasi!$K$28-Konvergensi!$C$520;2);PANGKAT(Normalisasi!$L$28-Konvergensi!$D$520;2);PANGKAT(Normalisasi!$M$28-Konvergensi!$E$520;2);PANGKAT(Normalisasi!$N$28-Konvergensi!$F$520;2);PANGKAT(Normalisasi!$O$28-Konvergensi!$G$520;2);PANGKAT(Normalisasi!$P$28-Konvergensi!$H$520;2)))</f>
        <v/>
      </c>
      <c r="E557">
        <f>AKAR(JUMLAH(PANGKAT(Normalisasi!$J$28-Konvergensi!$B$521;2);PANGKAT(Normalisasi!$K$28-Konvergensi!$C$521;2);PANGKAT(Normalisasi!$L$28-Konvergensi!$D$521;2);PANGKAT(Normalisasi!$M$28-Konvergensi!$E$521;2);PANGKAT(Normalisasi!$N$28-Konvergensi!$F$521;2);PANGKAT(Normalisasi!$O$28-Konvergensi!$G$521;2);PANGKAT(Normalisasi!$P$28-Konvergensi!$H$521;2)))</f>
        <v/>
      </c>
      <c r="F557">
        <f>JIKA(C557&lt;=D557;=JIKA(C557&lt;=E557;0;2);=JIKA(D557&lt;=E557;1;2))</f>
        <v/>
      </c>
      <c r="G557">
        <f>JUMLAH(JIKA(F557=0;JUMLAH(PANGKAT(Normalisasi!$J$28-Konvergensi!$B$584;2);PANGKAT(Normalisasi!$K$28-Konvergensi!$C$584;2);PANGKAT(Normalisasi!$L$28-Konvergensi!$D$584;2);PANGKAT(Normalisasi!$M$28-Konvergensi!$E$584;2);PANGKAT(Normalisasi!$N$28-Konvergensi!$F$584;2);PANGKAT(Normalisasi!$O$28-Konvergensi!$G$584;2);PANGKAT(Normalisasi!$P$28-Konvergensi!$H$584;2));0);JIKA(F557=1;JUMLAH(PANGKAT(Normalisasi!$J$28-Konvergensi!$B$585;2);PANGKAT(Normalisasi!$K$28-Konvergensi!$C$585;2);PANGKAT(Normalisasi!$L$28-Konvergensi!$D$585;2);PANGKAT(Normalisasi!$M$28-Konvergensi!$E$585;2);PANGKAT(Normalisasi!$N$28-Konvergensi!$F$585;2);PANGKAT(Normalisasi!$O$28-Konvergensi!$G$585;2);PANGKAT(Normalisasi!$P$28-Konvergensi!$H$585;2));0);JIKA(F557=2;JUMLAH(PANGKAT(Normalisasi!$J$28-Konvergensi!$B$586;2);PANGKAT(Normalisasi!$K$28-Konvergensi!$C$586;2);PANGKAT(Normalisasi!$L$28-Konvergensi!$D$586;2);PANGKAT(Normalisasi!$M$28-Konvergensi!$E$586;2);PANGKAT(Normalisasi!$N$28-Konvergensi!$F$586;2);PANGKAT(Normalisasi!$O$28-Konvergensi!$G$586;2);PANGKAT(Normalisasi!$P$28-Konvergensi!$H$586;2));0))</f>
        <v/>
      </c>
      <c r="H557" t="n">
        <v>1</v>
      </c>
      <c r="I557" t="n">
        <v>10.51074437071328</v>
      </c>
    </row>
    <row r="558">
      <c r="A558">
        <f>Data_Awal!A29</f>
        <v/>
      </c>
      <c r="B558">
        <f>Data_Awal!B29</f>
        <v/>
      </c>
      <c r="C558">
        <f>AKAR(JUMLAH(PANGKAT(Normalisasi!$J$29-Konvergensi!$B$519;2);PANGKAT(Normalisasi!$K$29-Konvergensi!$C$519;2);PANGKAT(Normalisasi!$L$29-Konvergensi!$D$519;2);PANGKAT(Normalisasi!$M$29-Konvergensi!$E$519;2);PANGKAT(Normalisasi!$N$29-Konvergensi!$F$519;2);PANGKAT(Normalisasi!$O$29-Konvergensi!$G$519;2);PANGKAT(Normalisasi!$P$29-Konvergensi!$H$519;2)))</f>
        <v/>
      </c>
      <c r="D558">
        <f>AKAR(JUMLAH(PANGKAT(Normalisasi!$J$29-Konvergensi!$B$520;2);PANGKAT(Normalisasi!$K$29-Konvergensi!$C$520;2);PANGKAT(Normalisasi!$L$29-Konvergensi!$D$520;2);PANGKAT(Normalisasi!$M$29-Konvergensi!$E$520;2);PANGKAT(Normalisasi!$N$29-Konvergensi!$F$520;2);PANGKAT(Normalisasi!$O$29-Konvergensi!$G$520;2);PANGKAT(Normalisasi!$P$29-Konvergensi!$H$520;2)))</f>
        <v/>
      </c>
      <c r="E558">
        <f>AKAR(JUMLAH(PANGKAT(Normalisasi!$J$29-Konvergensi!$B$521;2);PANGKAT(Normalisasi!$K$29-Konvergensi!$C$521;2);PANGKAT(Normalisasi!$L$29-Konvergensi!$D$521;2);PANGKAT(Normalisasi!$M$29-Konvergensi!$E$521;2);PANGKAT(Normalisasi!$N$29-Konvergensi!$F$521;2);PANGKAT(Normalisasi!$O$29-Konvergensi!$G$521;2);PANGKAT(Normalisasi!$P$29-Konvergensi!$H$521;2)))</f>
        <v/>
      </c>
      <c r="F558">
        <f>JIKA(C558&lt;=D558;=JIKA(C558&lt;=E558;0;2);=JIKA(D558&lt;=E558;1;2))</f>
        <v/>
      </c>
      <c r="G558">
        <f>JUMLAH(JIKA(F558=0;JUMLAH(PANGKAT(Normalisasi!$J$29-Konvergensi!$B$584;2);PANGKAT(Normalisasi!$K$29-Konvergensi!$C$584;2);PANGKAT(Normalisasi!$L$29-Konvergensi!$D$584;2);PANGKAT(Normalisasi!$M$29-Konvergensi!$E$584;2);PANGKAT(Normalisasi!$N$29-Konvergensi!$F$584;2);PANGKAT(Normalisasi!$O$29-Konvergensi!$G$584;2);PANGKAT(Normalisasi!$P$29-Konvergensi!$H$584;2));0);JIKA(F558=1;JUMLAH(PANGKAT(Normalisasi!$J$29-Konvergensi!$B$585;2);PANGKAT(Normalisasi!$K$29-Konvergensi!$C$585;2);PANGKAT(Normalisasi!$L$29-Konvergensi!$D$585;2);PANGKAT(Normalisasi!$M$29-Konvergensi!$E$585;2);PANGKAT(Normalisasi!$N$29-Konvergensi!$F$585;2);PANGKAT(Normalisasi!$O$29-Konvergensi!$G$585;2);PANGKAT(Normalisasi!$P$29-Konvergensi!$H$585;2));0);JIKA(F558=2;JUMLAH(PANGKAT(Normalisasi!$J$29-Konvergensi!$B$586;2);PANGKAT(Normalisasi!$K$29-Konvergensi!$C$586;2);PANGKAT(Normalisasi!$L$29-Konvergensi!$D$586;2);PANGKAT(Normalisasi!$M$29-Konvergensi!$E$586;2);PANGKAT(Normalisasi!$N$29-Konvergensi!$F$586;2);PANGKAT(Normalisasi!$O$29-Konvergensi!$G$586;2);PANGKAT(Normalisasi!$P$29-Konvergensi!$H$586;2));0))</f>
        <v/>
      </c>
      <c r="H558" t="n">
        <v>2</v>
      </c>
      <c r="I558" t="n">
        <v>3.361985279648478</v>
      </c>
    </row>
    <row r="559">
      <c r="A559">
        <f>Data_Awal!A30</f>
        <v/>
      </c>
      <c r="B559">
        <f>Data_Awal!B30</f>
        <v/>
      </c>
      <c r="C559">
        <f>AKAR(JUMLAH(PANGKAT(Normalisasi!$J$30-Konvergensi!$B$519;2);PANGKAT(Normalisasi!$K$30-Konvergensi!$C$519;2);PANGKAT(Normalisasi!$L$30-Konvergensi!$D$519;2);PANGKAT(Normalisasi!$M$30-Konvergensi!$E$519;2);PANGKAT(Normalisasi!$N$30-Konvergensi!$F$519;2);PANGKAT(Normalisasi!$O$30-Konvergensi!$G$519;2);PANGKAT(Normalisasi!$P$30-Konvergensi!$H$519;2)))</f>
        <v/>
      </c>
      <c r="D559">
        <f>AKAR(JUMLAH(PANGKAT(Normalisasi!$J$30-Konvergensi!$B$520;2);PANGKAT(Normalisasi!$K$30-Konvergensi!$C$520;2);PANGKAT(Normalisasi!$L$30-Konvergensi!$D$520;2);PANGKAT(Normalisasi!$M$30-Konvergensi!$E$520;2);PANGKAT(Normalisasi!$N$30-Konvergensi!$F$520;2);PANGKAT(Normalisasi!$O$30-Konvergensi!$G$520;2);PANGKAT(Normalisasi!$P$30-Konvergensi!$H$520;2)))</f>
        <v/>
      </c>
      <c r="E559">
        <f>AKAR(JUMLAH(PANGKAT(Normalisasi!$J$30-Konvergensi!$B$521;2);PANGKAT(Normalisasi!$K$30-Konvergensi!$C$521;2);PANGKAT(Normalisasi!$L$30-Konvergensi!$D$521;2);PANGKAT(Normalisasi!$M$30-Konvergensi!$E$521;2);PANGKAT(Normalisasi!$N$30-Konvergensi!$F$521;2);PANGKAT(Normalisasi!$O$30-Konvergensi!$G$521;2);PANGKAT(Normalisasi!$P$30-Konvergensi!$H$521;2)))</f>
        <v/>
      </c>
      <c r="F559">
        <f>JIKA(C559&lt;=D559;=JIKA(C559&lt;=E559;0;2);=JIKA(D559&lt;=E559;1;2))</f>
        <v/>
      </c>
      <c r="G559">
        <f>JUMLAH(JIKA(F559=0;JUMLAH(PANGKAT(Normalisasi!$J$30-Konvergensi!$B$584;2);PANGKAT(Normalisasi!$K$30-Konvergensi!$C$584;2);PANGKAT(Normalisasi!$L$30-Konvergensi!$D$584;2);PANGKAT(Normalisasi!$M$30-Konvergensi!$E$584;2);PANGKAT(Normalisasi!$N$30-Konvergensi!$F$584;2);PANGKAT(Normalisasi!$O$30-Konvergensi!$G$584;2);PANGKAT(Normalisasi!$P$30-Konvergensi!$H$584;2));0);JIKA(F559=1;JUMLAH(PANGKAT(Normalisasi!$J$30-Konvergensi!$B$585;2);PANGKAT(Normalisasi!$K$30-Konvergensi!$C$585;2);PANGKAT(Normalisasi!$L$30-Konvergensi!$D$585;2);PANGKAT(Normalisasi!$M$30-Konvergensi!$E$585;2);PANGKAT(Normalisasi!$N$30-Konvergensi!$F$585;2);PANGKAT(Normalisasi!$O$30-Konvergensi!$G$585;2);PANGKAT(Normalisasi!$P$30-Konvergensi!$H$585;2));0);JIKA(F559=2;JUMLAH(PANGKAT(Normalisasi!$J$30-Konvergensi!$B$586;2);PANGKAT(Normalisasi!$K$30-Konvergensi!$C$586;2);PANGKAT(Normalisasi!$L$30-Konvergensi!$D$586;2);PANGKAT(Normalisasi!$M$30-Konvergensi!$E$586;2);PANGKAT(Normalisasi!$N$30-Konvergensi!$F$586;2);PANGKAT(Normalisasi!$O$30-Konvergensi!$G$586;2);PANGKAT(Normalisasi!$P$30-Konvergensi!$H$586;2));0))</f>
        <v/>
      </c>
      <c r="H559" t="n">
        <v>0</v>
      </c>
      <c r="I559" t="n">
        <v>7.245618865999334</v>
      </c>
    </row>
    <row r="560">
      <c r="A560">
        <f>Data_Awal!A31</f>
        <v/>
      </c>
      <c r="B560">
        <f>Data_Awal!B31</f>
        <v/>
      </c>
      <c r="C560">
        <f>AKAR(JUMLAH(PANGKAT(Normalisasi!$J$31-Konvergensi!$B$519;2);PANGKAT(Normalisasi!$K$31-Konvergensi!$C$519;2);PANGKAT(Normalisasi!$L$31-Konvergensi!$D$519;2);PANGKAT(Normalisasi!$M$31-Konvergensi!$E$519;2);PANGKAT(Normalisasi!$N$31-Konvergensi!$F$519;2);PANGKAT(Normalisasi!$O$31-Konvergensi!$G$519;2);PANGKAT(Normalisasi!$P$31-Konvergensi!$H$519;2)))</f>
        <v/>
      </c>
      <c r="D560">
        <f>AKAR(JUMLAH(PANGKAT(Normalisasi!$J$31-Konvergensi!$B$520;2);PANGKAT(Normalisasi!$K$31-Konvergensi!$C$520;2);PANGKAT(Normalisasi!$L$31-Konvergensi!$D$520;2);PANGKAT(Normalisasi!$M$31-Konvergensi!$E$520;2);PANGKAT(Normalisasi!$N$31-Konvergensi!$F$520;2);PANGKAT(Normalisasi!$O$31-Konvergensi!$G$520;2);PANGKAT(Normalisasi!$P$31-Konvergensi!$H$520;2)))</f>
        <v/>
      </c>
      <c r="E560">
        <f>AKAR(JUMLAH(PANGKAT(Normalisasi!$J$31-Konvergensi!$B$521;2);PANGKAT(Normalisasi!$K$31-Konvergensi!$C$521;2);PANGKAT(Normalisasi!$L$31-Konvergensi!$D$521;2);PANGKAT(Normalisasi!$M$31-Konvergensi!$E$521;2);PANGKAT(Normalisasi!$N$31-Konvergensi!$F$521;2);PANGKAT(Normalisasi!$O$31-Konvergensi!$G$521;2);PANGKAT(Normalisasi!$P$31-Konvergensi!$H$521;2)))</f>
        <v/>
      </c>
      <c r="F560">
        <f>JIKA(C560&lt;=D560;=JIKA(C560&lt;=E560;0;2);=JIKA(D560&lt;=E560;1;2))</f>
        <v/>
      </c>
      <c r="G560">
        <f>JUMLAH(JIKA(F560=0;JUMLAH(PANGKAT(Normalisasi!$J$31-Konvergensi!$B$584;2);PANGKAT(Normalisasi!$K$31-Konvergensi!$C$584;2);PANGKAT(Normalisasi!$L$31-Konvergensi!$D$584;2);PANGKAT(Normalisasi!$M$31-Konvergensi!$E$584;2);PANGKAT(Normalisasi!$N$31-Konvergensi!$F$584;2);PANGKAT(Normalisasi!$O$31-Konvergensi!$G$584;2);PANGKAT(Normalisasi!$P$31-Konvergensi!$H$584;2));0);JIKA(F560=1;JUMLAH(PANGKAT(Normalisasi!$J$31-Konvergensi!$B$585;2);PANGKAT(Normalisasi!$K$31-Konvergensi!$C$585;2);PANGKAT(Normalisasi!$L$31-Konvergensi!$D$585;2);PANGKAT(Normalisasi!$M$31-Konvergensi!$E$585;2);PANGKAT(Normalisasi!$N$31-Konvergensi!$F$585;2);PANGKAT(Normalisasi!$O$31-Konvergensi!$G$585;2);PANGKAT(Normalisasi!$P$31-Konvergensi!$H$585;2));0);JIKA(F560=2;JUMLAH(PANGKAT(Normalisasi!$J$31-Konvergensi!$B$586;2);PANGKAT(Normalisasi!$K$31-Konvergensi!$C$586;2);PANGKAT(Normalisasi!$L$31-Konvergensi!$D$586;2);PANGKAT(Normalisasi!$M$31-Konvergensi!$E$586;2);PANGKAT(Normalisasi!$N$31-Konvergensi!$F$586;2);PANGKAT(Normalisasi!$O$31-Konvergensi!$G$586;2);PANGKAT(Normalisasi!$P$31-Konvergensi!$H$586;2));0))</f>
        <v/>
      </c>
      <c r="H560" t="n">
        <v>0</v>
      </c>
      <c r="I560" t="n">
        <v>6.197304134195888</v>
      </c>
    </row>
    <row r="561">
      <c r="A561">
        <f>Data_Awal!A32</f>
        <v/>
      </c>
      <c r="B561">
        <f>Data_Awal!B32</f>
        <v/>
      </c>
      <c r="C561">
        <f>AKAR(JUMLAH(PANGKAT(Normalisasi!$J$32-Konvergensi!$B$519;2);PANGKAT(Normalisasi!$K$32-Konvergensi!$C$519;2);PANGKAT(Normalisasi!$L$32-Konvergensi!$D$519;2);PANGKAT(Normalisasi!$M$32-Konvergensi!$E$519;2);PANGKAT(Normalisasi!$N$32-Konvergensi!$F$519;2);PANGKAT(Normalisasi!$O$32-Konvergensi!$G$519;2);PANGKAT(Normalisasi!$P$32-Konvergensi!$H$519;2)))</f>
        <v/>
      </c>
      <c r="D561">
        <f>AKAR(JUMLAH(PANGKAT(Normalisasi!$J$32-Konvergensi!$B$520;2);PANGKAT(Normalisasi!$K$32-Konvergensi!$C$520;2);PANGKAT(Normalisasi!$L$32-Konvergensi!$D$520;2);PANGKAT(Normalisasi!$M$32-Konvergensi!$E$520;2);PANGKAT(Normalisasi!$N$32-Konvergensi!$F$520;2);PANGKAT(Normalisasi!$O$32-Konvergensi!$G$520;2);PANGKAT(Normalisasi!$P$32-Konvergensi!$H$520;2)))</f>
        <v/>
      </c>
      <c r="E561">
        <f>AKAR(JUMLAH(PANGKAT(Normalisasi!$J$32-Konvergensi!$B$521;2);PANGKAT(Normalisasi!$K$32-Konvergensi!$C$521;2);PANGKAT(Normalisasi!$L$32-Konvergensi!$D$521;2);PANGKAT(Normalisasi!$M$32-Konvergensi!$E$521;2);PANGKAT(Normalisasi!$N$32-Konvergensi!$F$521;2);PANGKAT(Normalisasi!$O$32-Konvergensi!$G$521;2);PANGKAT(Normalisasi!$P$32-Konvergensi!$H$521;2)))</f>
        <v/>
      </c>
      <c r="F561">
        <f>JIKA(C561&lt;=D561;=JIKA(C561&lt;=E561;0;2);=JIKA(D561&lt;=E561;1;2))</f>
        <v/>
      </c>
      <c r="G561">
        <f>JUMLAH(JIKA(F561=0;JUMLAH(PANGKAT(Normalisasi!$J$32-Konvergensi!$B$584;2);PANGKAT(Normalisasi!$K$32-Konvergensi!$C$584;2);PANGKAT(Normalisasi!$L$32-Konvergensi!$D$584;2);PANGKAT(Normalisasi!$M$32-Konvergensi!$E$584;2);PANGKAT(Normalisasi!$N$32-Konvergensi!$F$584;2);PANGKAT(Normalisasi!$O$32-Konvergensi!$G$584;2);PANGKAT(Normalisasi!$P$32-Konvergensi!$H$584;2));0);JIKA(F561=1;JUMLAH(PANGKAT(Normalisasi!$J$32-Konvergensi!$B$585;2);PANGKAT(Normalisasi!$K$32-Konvergensi!$C$585;2);PANGKAT(Normalisasi!$L$32-Konvergensi!$D$585;2);PANGKAT(Normalisasi!$M$32-Konvergensi!$E$585;2);PANGKAT(Normalisasi!$N$32-Konvergensi!$F$585;2);PANGKAT(Normalisasi!$O$32-Konvergensi!$G$585;2);PANGKAT(Normalisasi!$P$32-Konvergensi!$H$585;2));0);JIKA(F561=2;JUMLAH(PANGKAT(Normalisasi!$J$32-Konvergensi!$B$586;2);PANGKAT(Normalisasi!$K$32-Konvergensi!$C$586;2);PANGKAT(Normalisasi!$L$32-Konvergensi!$D$586;2);PANGKAT(Normalisasi!$M$32-Konvergensi!$E$586;2);PANGKAT(Normalisasi!$N$32-Konvergensi!$F$586;2);PANGKAT(Normalisasi!$O$32-Konvergensi!$G$586;2);PANGKAT(Normalisasi!$P$32-Konvergensi!$H$586;2));0))</f>
        <v/>
      </c>
      <c r="H561" t="n">
        <v>0</v>
      </c>
      <c r="I561" t="n">
        <v>5.010109574861605</v>
      </c>
    </row>
    <row r="562">
      <c r="A562">
        <f>Data_Awal!A33</f>
        <v/>
      </c>
      <c r="B562">
        <f>Data_Awal!B33</f>
        <v/>
      </c>
      <c r="C562">
        <f>AKAR(JUMLAH(PANGKAT(Normalisasi!$J$33-Konvergensi!$B$519;2);PANGKAT(Normalisasi!$K$33-Konvergensi!$C$519;2);PANGKAT(Normalisasi!$L$33-Konvergensi!$D$519;2);PANGKAT(Normalisasi!$M$33-Konvergensi!$E$519;2);PANGKAT(Normalisasi!$N$33-Konvergensi!$F$519;2);PANGKAT(Normalisasi!$O$33-Konvergensi!$G$519;2);PANGKAT(Normalisasi!$P$33-Konvergensi!$H$519;2)))</f>
        <v/>
      </c>
      <c r="D562">
        <f>AKAR(JUMLAH(PANGKAT(Normalisasi!$J$33-Konvergensi!$B$520;2);PANGKAT(Normalisasi!$K$33-Konvergensi!$C$520;2);PANGKAT(Normalisasi!$L$33-Konvergensi!$D$520;2);PANGKAT(Normalisasi!$M$33-Konvergensi!$E$520;2);PANGKAT(Normalisasi!$N$33-Konvergensi!$F$520;2);PANGKAT(Normalisasi!$O$33-Konvergensi!$G$520;2);PANGKAT(Normalisasi!$P$33-Konvergensi!$H$520;2)))</f>
        <v/>
      </c>
      <c r="E562">
        <f>AKAR(JUMLAH(PANGKAT(Normalisasi!$J$33-Konvergensi!$B$521;2);PANGKAT(Normalisasi!$K$33-Konvergensi!$C$521;2);PANGKAT(Normalisasi!$L$33-Konvergensi!$D$521;2);PANGKAT(Normalisasi!$M$33-Konvergensi!$E$521;2);PANGKAT(Normalisasi!$N$33-Konvergensi!$F$521;2);PANGKAT(Normalisasi!$O$33-Konvergensi!$G$521;2);PANGKAT(Normalisasi!$P$33-Konvergensi!$H$521;2)))</f>
        <v/>
      </c>
      <c r="F562">
        <f>JIKA(C562&lt;=D562;=JIKA(C562&lt;=E562;0;2);=JIKA(D562&lt;=E562;1;2))</f>
        <v/>
      </c>
      <c r="G562">
        <f>JUMLAH(JIKA(F562=0;JUMLAH(PANGKAT(Normalisasi!$J$33-Konvergensi!$B$584;2);PANGKAT(Normalisasi!$K$33-Konvergensi!$C$584;2);PANGKAT(Normalisasi!$L$33-Konvergensi!$D$584;2);PANGKAT(Normalisasi!$M$33-Konvergensi!$E$584;2);PANGKAT(Normalisasi!$N$33-Konvergensi!$F$584;2);PANGKAT(Normalisasi!$O$33-Konvergensi!$G$584;2);PANGKAT(Normalisasi!$P$33-Konvergensi!$H$584;2));0);JIKA(F562=1;JUMLAH(PANGKAT(Normalisasi!$J$33-Konvergensi!$B$585;2);PANGKAT(Normalisasi!$K$33-Konvergensi!$C$585;2);PANGKAT(Normalisasi!$L$33-Konvergensi!$D$585;2);PANGKAT(Normalisasi!$M$33-Konvergensi!$E$585;2);PANGKAT(Normalisasi!$N$33-Konvergensi!$F$585;2);PANGKAT(Normalisasi!$O$33-Konvergensi!$G$585;2);PANGKAT(Normalisasi!$P$33-Konvergensi!$H$585;2));0);JIKA(F562=2;JUMLAH(PANGKAT(Normalisasi!$J$33-Konvergensi!$B$586;2);PANGKAT(Normalisasi!$K$33-Konvergensi!$C$586;2);PANGKAT(Normalisasi!$L$33-Konvergensi!$D$586;2);PANGKAT(Normalisasi!$M$33-Konvergensi!$E$586;2);PANGKAT(Normalisasi!$N$33-Konvergensi!$F$586;2);PANGKAT(Normalisasi!$O$33-Konvergensi!$G$586;2);PANGKAT(Normalisasi!$P$33-Konvergensi!$H$586;2));0))</f>
        <v/>
      </c>
      <c r="H562" t="n">
        <v>0</v>
      </c>
      <c r="I562" t="n">
        <v>6.221795944217667</v>
      </c>
    </row>
    <row r="563">
      <c r="A563">
        <f>Data_Awal!A34</f>
        <v/>
      </c>
      <c r="B563">
        <f>Data_Awal!B34</f>
        <v/>
      </c>
      <c r="C563">
        <f>AKAR(JUMLAH(PANGKAT(Normalisasi!$J$34-Konvergensi!$B$519;2);PANGKAT(Normalisasi!$K$34-Konvergensi!$C$519;2);PANGKAT(Normalisasi!$L$34-Konvergensi!$D$519;2);PANGKAT(Normalisasi!$M$34-Konvergensi!$E$519;2);PANGKAT(Normalisasi!$N$34-Konvergensi!$F$519;2);PANGKAT(Normalisasi!$O$34-Konvergensi!$G$519;2);PANGKAT(Normalisasi!$P$34-Konvergensi!$H$519;2)))</f>
        <v/>
      </c>
      <c r="D563">
        <f>AKAR(JUMLAH(PANGKAT(Normalisasi!$J$34-Konvergensi!$B$520;2);PANGKAT(Normalisasi!$K$34-Konvergensi!$C$520;2);PANGKAT(Normalisasi!$L$34-Konvergensi!$D$520;2);PANGKAT(Normalisasi!$M$34-Konvergensi!$E$520;2);PANGKAT(Normalisasi!$N$34-Konvergensi!$F$520;2);PANGKAT(Normalisasi!$O$34-Konvergensi!$G$520;2);PANGKAT(Normalisasi!$P$34-Konvergensi!$H$520;2)))</f>
        <v/>
      </c>
      <c r="E563">
        <f>AKAR(JUMLAH(PANGKAT(Normalisasi!$J$34-Konvergensi!$B$521;2);PANGKAT(Normalisasi!$K$34-Konvergensi!$C$521;2);PANGKAT(Normalisasi!$L$34-Konvergensi!$D$521;2);PANGKAT(Normalisasi!$M$34-Konvergensi!$E$521;2);PANGKAT(Normalisasi!$N$34-Konvergensi!$F$521;2);PANGKAT(Normalisasi!$O$34-Konvergensi!$G$521;2);PANGKAT(Normalisasi!$P$34-Konvergensi!$H$521;2)))</f>
        <v/>
      </c>
      <c r="F563">
        <f>JIKA(C563&lt;=D563;=JIKA(C563&lt;=E563;0;2);=JIKA(D563&lt;=E563;1;2))</f>
        <v/>
      </c>
      <c r="G563">
        <f>JUMLAH(JIKA(F563=0;JUMLAH(PANGKAT(Normalisasi!$J$34-Konvergensi!$B$584;2);PANGKAT(Normalisasi!$K$34-Konvergensi!$C$584;2);PANGKAT(Normalisasi!$L$34-Konvergensi!$D$584;2);PANGKAT(Normalisasi!$M$34-Konvergensi!$E$584;2);PANGKAT(Normalisasi!$N$34-Konvergensi!$F$584;2);PANGKAT(Normalisasi!$O$34-Konvergensi!$G$584;2);PANGKAT(Normalisasi!$P$34-Konvergensi!$H$584;2));0);JIKA(F563=1;JUMLAH(PANGKAT(Normalisasi!$J$34-Konvergensi!$B$585;2);PANGKAT(Normalisasi!$K$34-Konvergensi!$C$585;2);PANGKAT(Normalisasi!$L$34-Konvergensi!$D$585;2);PANGKAT(Normalisasi!$M$34-Konvergensi!$E$585;2);PANGKAT(Normalisasi!$N$34-Konvergensi!$F$585;2);PANGKAT(Normalisasi!$O$34-Konvergensi!$G$585;2);PANGKAT(Normalisasi!$P$34-Konvergensi!$H$585;2));0);JIKA(F563=2;JUMLAH(PANGKAT(Normalisasi!$J$34-Konvergensi!$B$586;2);PANGKAT(Normalisasi!$K$34-Konvergensi!$C$586;2);PANGKAT(Normalisasi!$L$34-Konvergensi!$D$586;2);PANGKAT(Normalisasi!$M$34-Konvergensi!$E$586;2);PANGKAT(Normalisasi!$N$34-Konvergensi!$F$586;2);PANGKAT(Normalisasi!$O$34-Konvergensi!$G$586;2);PANGKAT(Normalisasi!$P$34-Konvergensi!$H$586;2));0))</f>
        <v/>
      </c>
      <c r="H563" t="n">
        <v>1</v>
      </c>
      <c r="I563" t="n">
        <v>1.842633076140355</v>
      </c>
    </row>
    <row r="564">
      <c r="A564">
        <f>Data_Awal!A35</f>
        <v/>
      </c>
      <c r="B564">
        <f>Data_Awal!B35</f>
        <v/>
      </c>
      <c r="C564">
        <f>AKAR(JUMLAH(PANGKAT(Normalisasi!$J$35-Konvergensi!$B$519;2);PANGKAT(Normalisasi!$K$35-Konvergensi!$C$519;2);PANGKAT(Normalisasi!$L$35-Konvergensi!$D$519;2);PANGKAT(Normalisasi!$M$35-Konvergensi!$E$519;2);PANGKAT(Normalisasi!$N$35-Konvergensi!$F$519;2);PANGKAT(Normalisasi!$O$35-Konvergensi!$G$519;2);PANGKAT(Normalisasi!$P$35-Konvergensi!$H$519;2)))</f>
        <v/>
      </c>
      <c r="D564">
        <f>AKAR(JUMLAH(PANGKAT(Normalisasi!$J$35-Konvergensi!$B$520;2);PANGKAT(Normalisasi!$K$35-Konvergensi!$C$520;2);PANGKAT(Normalisasi!$L$35-Konvergensi!$D$520;2);PANGKAT(Normalisasi!$M$35-Konvergensi!$E$520;2);PANGKAT(Normalisasi!$N$35-Konvergensi!$F$520;2);PANGKAT(Normalisasi!$O$35-Konvergensi!$G$520;2);PANGKAT(Normalisasi!$P$35-Konvergensi!$H$520;2)))</f>
        <v/>
      </c>
      <c r="E564">
        <f>AKAR(JUMLAH(PANGKAT(Normalisasi!$J$35-Konvergensi!$B$521;2);PANGKAT(Normalisasi!$K$35-Konvergensi!$C$521;2);PANGKAT(Normalisasi!$L$35-Konvergensi!$D$521;2);PANGKAT(Normalisasi!$M$35-Konvergensi!$E$521;2);PANGKAT(Normalisasi!$N$35-Konvergensi!$F$521;2);PANGKAT(Normalisasi!$O$35-Konvergensi!$G$521;2);PANGKAT(Normalisasi!$P$35-Konvergensi!$H$521;2)))</f>
        <v/>
      </c>
      <c r="F564">
        <f>JIKA(C564&lt;=D564;=JIKA(C564&lt;=E564;0;2);=JIKA(D564&lt;=E564;1;2))</f>
        <v/>
      </c>
      <c r="G564">
        <f>JUMLAH(JIKA(F564=0;JUMLAH(PANGKAT(Normalisasi!$J$35-Konvergensi!$B$584;2);PANGKAT(Normalisasi!$K$35-Konvergensi!$C$584;2);PANGKAT(Normalisasi!$L$35-Konvergensi!$D$584;2);PANGKAT(Normalisasi!$M$35-Konvergensi!$E$584;2);PANGKAT(Normalisasi!$N$35-Konvergensi!$F$584;2);PANGKAT(Normalisasi!$O$35-Konvergensi!$G$584;2);PANGKAT(Normalisasi!$P$35-Konvergensi!$H$584;2));0);JIKA(F564=1;JUMLAH(PANGKAT(Normalisasi!$J$35-Konvergensi!$B$585;2);PANGKAT(Normalisasi!$K$35-Konvergensi!$C$585;2);PANGKAT(Normalisasi!$L$35-Konvergensi!$D$585;2);PANGKAT(Normalisasi!$M$35-Konvergensi!$E$585;2);PANGKAT(Normalisasi!$N$35-Konvergensi!$F$585;2);PANGKAT(Normalisasi!$O$35-Konvergensi!$G$585;2);PANGKAT(Normalisasi!$P$35-Konvergensi!$H$585;2));0);JIKA(F564=2;JUMLAH(PANGKAT(Normalisasi!$J$35-Konvergensi!$B$586;2);PANGKAT(Normalisasi!$K$35-Konvergensi!$C$586;2);PANGKAT(Normalisasi!$L$35-Konvergensi!$D$586;2);PANGKAT(Normalisasi!$M$35-Konvergensi!$E$586;2);PANGKAT(Normalisasi!$N$35-Konvergensi!$F$586;2);PANGKAT(Normalisasi!$O$35-Konvergensi!$G$586;2);PANGKAT(Normalisasi!$P$35-Konvergensi!$H$586;2));0))</f>
        <v/>
      </c>
      <c r="H564" t="n">
        <v>0</v>
      </c>
      <c r="I564" t="n">
        <v>4.390311443874801</v>
      </c>
    </row>
    <row r="565">
      <c r="A565">
        <f>Data_Awal!A36</f>
        <v/>
      </c>
      <c r="B565">
        <f>Data_Awal!B36</f>
        <v/>
      </c>
      <c r="C565">
        <f>AKAR(JUMLAH(PANGKAT(Normalisasi!$J$36-Konvergensi!$B$519;2);PANGKAT(Normalisasi!$K$36-Konvergensi!$C$519;2);PANGKAT(Normalisasi!$L$36-Konvergensi!$D$519;2);PANGKAT(Normalisasi!$M$36-Konvergensi!$E$519;2);PANGKAT(Normalisasi!$N$36-Konvergensi!$F$519;2);PANGKAT(Normalisasi!$O$36-Konvergensi!$G$519;2);PANGKAT(Normalisasi!$P$36-Konvergensi!$H$519;2)))</f>
        <v/>
      </c>
      <c r="D565">
        <f>AKAR(JUMLAH(PANGKAT(Normalisasi!$J$36-Konvergensi!$B$520;2);PANGKAT(Normalisasi!$K$36-Konvergensi!$C$520;2);PANGKAT(Normalisasi!$L$36-Konvergensi!$D$520;2);PANGKAT(Normalisasi!$M$36-Konvergensi!$E$520;2);PANGKAT(Normalisasi!$N$36-Konvergensi!$F$520;2);PANGKAT(Normalisasi!$O$36-Konvergensi!$G$520;2);PANGKAT(Normalisasi!$P$36-Konvergensi!$H$520;2)))</f>
        <v/>
      </c>
      <c r="E565">
        <f>AKAR(JUMLAH(PANGKAT(Normalisasi!$J$36-Konvergensi!$B$521;2);PANGKAT(Normalisasi!$K$36-Konvergensi!$C$521;2);PANGKAT(Normalisasi!$L$36-Konvergensi!$D$521;2);PANGKAT(Normalisasi!$M$36-Konvergensi!$E$521;2);PANGKAT(Normalisasi!$N$36-Konvergensi!$F$521;2);PANGKAT(Normalisasi!$O$36-Konvergensi!$G$521;2);PANGKAT(Normalisasi!$P$36-Konvergensi!$H$521;2)))</f>
        <v/>
      </c>
      <c r="F565">
        <f>JIKA(C565&lt;=D565;=JIKA(C565&lt;=E565;0;2);=JIKA(D565&lt;=E565;1;2))</f>
        <v/>
      </c>
      <c r="G565">
        <f>JUMLAH(JIKA(F565=0;JUMLAH(PANGKAT(Normalisasi!$J$36-Konvergensi!$B$584;2);PANGKAT(Normalisasi!$K$36-Konvergensi!$C$584;2);PANGKAT(Normalisasi!$L$36-Konvergensi!$D$584;2);PANGKAT(Normalisasi!$M$36-Konvergensi!$E$584;2);PANGKAT(Normalisasi!$N$36-Konvergensi!$F$584;2);PANGKAT(Normalisasi!$O$36-Konvergensi!$G$584;2);PANGKAT(Normalisasi!$P$36-Konvergensi!$H$584;2));0);JIKA(F565=1;JUMLAH(PANGKAT(Normalisasi!$J$36-Konvergensi!$B$585;2);PANGKAT(Normalisasi!$K$36-Konvergensi!$C$585;2);PANGKAT(Normalisasi!$L$36-Konvergensi!$D$585;2);PANGKAT(Normalisasi!$M$36-Konvergensi!$E$585;2);PANGKAT(Normalisasi!$N$36-Konvergensi!$F$585;2);PANGKAT(Normalisasi!$O$36-Konvergensi!$G$585;2);PANGKAT(Normalisasi!$P$36-Konvergensi!$H$585;2));0);JIKA(F565=2;JUMLAH(PANGKAT(Normalisasi!$J$36-Konvergensi!$B$586;2);PANGKAT(Normalisasi!$K$36-Konvergensi!$C$586;2);PANGKAT(Normalisasi!$L$36-Konvergensi!$D$586;2);PANGKAT(Normalisasi!$M$36-Konvergensi!$E$586;2);PANGKAT(Normalisasi!$N$36-Konvergensi!$F$586;2);PANGKAT(Normalisasi!$O$36-Konvergensi!$G$586;2);PANGKAT(Normalisasi!$P$36-Konvergensi!$H$586;2));0))</f>
        <v/>
      </c>
      <c r="H565" t="n">
        <v>0</v>
      </c>
      <c r="I565" t="n">
        <v>4.927091817172506</v>
      </c>
    </row>
    <row r="566">
      <c r="A566">
        <f>Data_Awal!A37</f>
        <v/>
      </c>
      <c r="B566">
        <f>Data_Awal!B37</f>
        <v/>
      </c>
      <c r="C566">
        <f>AKAR(JUMLAH(PANGKAT(Normalisasi!$J$37-Konvergensi!$B$519;2);PANGKAT(Normalisasi!$K$37-Konvergensi!$C$519;2);PANGKAT(Normalisasi!$L$37-Konvergensi!$D$519;2);PANGKAT(Normalisasi!$M$37-Konvergensi!$E$519;2);PANGKAT(Normalisasi!$N$37-Konvergensi!$F$519;2);PANGKAT(Normalisasi!$O$37-Konvergensi!$G$519;2);PANGKAT(Normalisasi!$P$37-Konvergensi!$H$519;2)))</f>
        <v/>
      </c>
      <c r="D566">
        <f>AKAR(JUMLAH(PANGKAT(Normalisasi!$J$37-Konvergensi!$B$520;2);PANGKAT(Normalisasi!$K$37-Konvergensi!$C$520;2);PANGKAT(Normalisasi!$L$37-Konvergensi!$D$520;2);PANGKAT(Normalisasi!$M$37-Konvergensi!$E$520;2);PANGKAT(Normalisasi!$N$37-Konvergensi!$F$520;2);PANGKAT(Normalisasi!$O$37-Konvergensi!$G$520;2);PANGKAT(Normalisasi!$P$37-Konvergensi!$H$520;2)))</f>
        <v/>
      </c>
      <c r="E566">
        <f>AKAR(JUMLAH(PANGKAT(Normalisasi!$J$37-Konvergensi!$B$521;2);PANGKAT(Normalisasi!$K$37-Konvergensi!$C$521;2);PANGKAT(Normalisasi!$L$37-Konvergensi!$D$521;2);PANGKAT(Normalisasi!$M$37-Konvergensi!$E$521;2);PANGKAT(Normalisasi!$N$37-Konvergensi!$F$521;2);PANGKAT(Normalisasi!$O$37-Konvergensi!$G$521;2);PANGKAT(Normalisasi!$P$37-Konvergensi!$H$521;2)))</f>
        <v/>
      </c>
      <c r="F566">
        <f>JIKA(C566&lt;=D566;=JIKA(C566&lt;=E566;0;2);=JIKA(D566&lt;=E566;1;2))</f>
        <v/>
      </c>
      <c r="G566">
        <f>JUMLAH(JIKA(F566=0;JUMLAH(PANGKAT(Normalisasi!$J$37-Konvergensi!$B$584;2);PANGKAT(Normalisasi!$K$37-Konvergensi!$C$584;2);PANGKAT(Normalisasi!$L$37-Konvergensi!$D$584;2);PANGKAT(Normalisasi!$M$37-Konvergensi!$E$584;2);PANGKAT(Normalisasi!$N$37-Konvergensi!$F$584;2);PANGKAT(Normalisasi!$O$37-Konvergensi!$G$584;2);PANGKAT(Normalisasi!$P$37-Konvergensi!$H$584;2));0);JIKA(F566=1;JUMLAH(PANGKAT(Normalisasi!$J$37-Konvergensi!$B$585;2);PANGKAT(Normalisasi!$K$37-Konvergensi!$C$585;2);PANGKAT(Normalisasi!$L$37-Konvergensi!$D$585;2);PANGKAT(Normalisasi!$M$37-Konvergensi!$E$585;2);PANGKAT(Normalisasi!$N$37-Konvergensi!$F$585;2);PANGKAT(Normalisasi!$O$37-Konvergensi!$G$585;2);PANGKAT(Normalisasi!$P$37-Konvergensi!$H$585;2));0);JIKA(F566=2;JUMLAH(PANGKAT(Normalisasi!$J$37-Konvergensi!$B$586;2);PANGKAT(Normalisasi!$K$37-Konvergensi!$C$586;2);PANGKAT(Normalisasi!$L$37-Konvergensi!$D$586;2);PANGKAT(Normalisasi!$M$37-Konvergensi!$E$586;2);PANGKAT(Normalisasi!$N$37-Konvergensi!$F$586;2);PANGKAT(Normalisasi!$O$37-Konvergensi!$G$586;2);PANGKAT(Normalisasi!$P$37-Konvergensi!$H$586;2));0))</f>
        <v/>
      </c>
      <c r="H566" t="n">
        <v>2</v>
      </c>
      <c r="I566" t="n">
        <v>5.243707148932089</v>
      </c>
    </row>
    <row r="567">
      <c r="A567">
        <f>Data_Awal!A38</f>
        <v/>
      </c>
      <c r="B567">
        <f>Data_Awal!B38</f>
        <v/>
      </c>
      <c r="C567">
        <f>AKAR(JUMLAH(PANGKAT(Normalisasi!$J$38-Konvergensi!$B$519;2);PANGKAT(Normalisasi!$K$38-Konvergensi!$C$519;2);PANGKAT(Normalisasi!$L$38-Konvergensi!$D$519;2);PANGKAT(Normalisasi!$M$38-Konvergensi!$E$519;2);PANGKAT(Normalisasi!$N$38-Konvergensi!$F$519;2);PANGKAT(Normalisasi!$O$38-Konvergensi!$G$519;2);PANGKAT(Normalisasi!$P$38-Konvergensi!$H$519;2)))</f>
        <v/>
      </c>
      <c r="D567">
        <f>AKAR(JUMLAH(PANGKAT(Normalisasi!$J$38-Konvergensi!$B$520;2);PANGKAT(Normalisasi!$K$38-Konvergensi!$C$520;2);PANGKAT(Normalisasi!$L$38-Konvergensi!$D$520;2);PANGKAT(Normalisasi!$M$38-Konvergensi!$E$520;2);PANGKAT(Normalisasi!$N$38-Konvergensi!$F$520;2);PANGKAT(Normalisasi!$O$38-Konvergensi!$G$520;2);PANGKAT(Normalisasi!$P$38-Konvergensi!$H$520;2)))</f>
        <v/>
      </c>
      <c r="E567">
        <f>AKAR(JUMLAH(PANGKAT(Normalisasi!$J$38-Konvergensi!$B$521;2);PANGKAT(Normalisasi!$K$38-Konvergensi!$C$521;2);PANGKAT(Normalisasi!$L$38-Konvergensi!$D$521;2);PANGKAT(Normalisasi!$M$38-Konvergensi!$E$521;2);PANGKAT(Normalisasi!$N$38-Konvergensi!$F$521;2);PANGKAT(Normalisasi!$O$38-Konvergensi!$G$521;2);PANGKAT(Normalisasi!$P$38-Konvergensi!$H$521;2)))</f>
        <v/>
      </c>
      <c r="F567">
        <f>JIKA(C567&lt;=D567;=JIKA(C567&lt;=E567;0;2);=JIKA(D567&lt;=E567;1;2))</f>
        <v/>
      </c>
      <c r="G567">
        <f>JUMLAH(JIKA(F567=0;JUMLAH(PANGKAT(Normalisasi!$J$38-Konvergensi!$B$584;2);PANGKAT(Normalisasi!$K$38-Konvergensi!$C$584;2);PANGKAT(Normalisasi!$L$38-Konvergensi!$D$584;2);PANGKAT(Normalisasi!$M$38-Konvergensi!$E$584;2);PANGKAT(Normalisasi!$N$38-Konvergensi!$F$584;2);PANGKAT(Normalisasi!$O$38-Konvergensi!$G$584;2);PANGKAT(Normalisasi!$P$38-Konvergensi!$H$584;2));0);JIKA(F567=1;JUMLAH(PANGKAT(Normalisasi!$J$38-Konvergensi!$B$585;2);PANGKAT(Normalisasi!$K$38-Konvergensi!$C$585;2);PANGKAT(Normalisasi!$L$38-Konvergensi!$D$585;2);PANGKAT(Normalisasi!$M$38-Konvergensi!$E$585;2);PANGKAT(Normalisasi!$N$38-Konvergensi!$F$585;2);PANGKAT(Normalisasi!$O$38-Konvergensi!$G$585;2);PANGKAT(Normalisasi!$P$38-Konvergensi!$H$585;2));0);JIKA(F567=2;JUMLAH(PANGKAT(Normalisasi!$J$38-Konvergensi!$B$586;2);PANGKAT(Normalisasi!$K$38-Konvergensi!$C$586;2);PANGKAT(Normalisasi!$L$38-Konvergensi!$D$586;2);PANGKAT(Normalisasi!$M$38-Konvergensi!$E$586;2);PANGKAT(Normalisasi!$N$38-Konvergensi!$F$586;2);PANGKAT(Normalisasi!$O$38-Konvergensi!$G$586;2);PANGKAT(Normalisasi!$P$38-Konvergensi!$H$586;2));0))</f>
        <v/>
      </c>
      <c r="H567" t="n">
        <v>1</v>
      </c>
      <c r="I567" t="n">
        <v>3.980198617838536</v>
      </c>
    </row>
    <row r="568">
      <c r="A568">
        <f>Data_Awal!A39</f>
        <v/>
      </c>
      <c r="B568">
        <f>Data_Awal!B39</f>
        <v/>
      </c>
      <c r="C568">
        <f>AKAR(JUMLAH(PANGKAT(Normalisasi!$J$39-Konvergensi!$B$519;2);PANGKAT(Normalisasi!$K$39-Konvergensi!$C$519;2);PANGKAT(Normalisasi!$L$39-Konvergensi!$D$519;2);PANGKAT(Normalisasi!$M$39-Konvergensi!$E$519;2);PANGKAT(Normalisasi!$N$39-Konvergensi!$F$519;2);PANGKAT(Normalisasi!$O$39-Konvergensi!$G$519;2);PANGKAT(Normalisasi!$P$39-Konvergensi!$H$519;2)))</f>
        <v/>
      </c>
      <c r="D568">
        <f>AKAR(JUMLAH(PANGKAT(Normalisasi!$J$39-Konvergensi!$B$520;2);PANGKAT(Normalisasi!$K$39-Konvergensi!$C$520;2);PANGKAT(Normalisasi!$L$39-Konvergensi!$D$520;2);PANGKAT(Normalisasi!$M$39-Konvergensi!$E$520;2);PANGKAT(Normalisasi!$N$39-Konvergensi!$F$520;2);PANGKAT(Normalisasi!$O$39-Konvergensi!$G$520;2);PANGKAT(Normalisasi!$P$39-Konvergensi!$H$520;2)))</f>
        <v/>
      </c>
      <c r="E568">
        <f>AKAR(JUMLAH(PANGKAT(Normalisasi!$J$39-Konvergensi!$B$521;2);PANGKAT(Normalisasi!$K$39-Konvergensi!$C$521;2);PANGKAT(Normalisasi!$L$39-Konvergensi!$D$521;2);PANGKAT(Normalisasi!$M$39-Konvergensi!$E$521;2);PANGKAT(Normalisasi!$N$39-Konvergensi!$F$521;2);PANGKAT(Normalisasi!$O$39-Konvergensi!$G$521;2);PANGKAT(Normalisasi!$P$39-Konvergensi!$H$521;2)))</f>
        <v/>
      </c>
      <c r="F568">
        <f>JIKA(C568&lt;=D568;=JIKA(C568&lt;=E568;0;2);=JIKA(D568&lt;=E568;1;2))</f>
        <v/>
      </c>
      <c r="G568">
        <f>JUMLAH(JIKA(F568=0;JUMLAH(PANGKAT(Normalisasi!$J$39-Konvergensi!$B$584;2);PANGKAT(Normalisasi!$K$39-Konvergensi!$C$584;2);PANGKAT(Normalisasi!$L$39-Konvergensi!$D$584;2);PANGKAT(Normalisasi!$M$39-Konvergensi!$E$584;2);PANGKAT(Normalisasi!$N$39-Konvergensi!$F$584;2);PANGKAT(Normalisasi!$O$39-Konvergensi!$G$584;2);PANGKAT(Normalisasi!$P$39-Konvergensi!$H$584;2));0);JIKA(F568=1;JUMLAH(PANGKAT(Normalisasi!$J$39-Konvergensi!$B$585;2);PANGKAT(Normalisasi!$K$39-Konvergensi!$C$585;2);PANGKAT(Normalisasi!$L$39-Konvergensi!$D$585;2);PANGKAT(Normalisasi!$M$39-Konvergensi!$E$585;2);PANGKAT(Normalisasi!$N$39-Konvergensi!$F$585;2);PANGKAT(Normalisasi!$O$39-Konvergensi!$G$585;2);PANGKAT(Normalisasi!$P$39-Konvergensi!$H$585;2));0);JIKA(F568=2;JUMLAH(PANGKAT(Normalisasi!$J$39-Konvergensi!$B$586;2);PANGKAT(Normalisasi!$K$39-Konvergensi!$C$586;2);PANGKAT(Normalisasi!$L$39-Konvergensi!$D$586;2);PANGKAT(Normalisasi!$M$39-Konvergensi!$E$586;2);PANGKAT(Normalisasi!$N$39-Konvergensi!$F$586;2);PANGKAT(Normalisasi!$O$39-Konvergensi!$G$586;2);PANGKAT(Normalisasi!$P$39-Konvergensi!$H$586;2));0))</f>
        <v/>
      </c>
      <c r="H568" t="n">
        <v>0</v>
      </c>
      <c r="I568" t="n">
        <v>10.56957533745757</v>
      </c>
    </row>
    <row r="569">
      <c r="A569">
        <f>Data_Awal!A40</f>
        <v/>
      </c>
      <c r="B569">
        <f>Data_Awal!B40</f>
        <v/>
      </c>
      <c r="C569">
        <f>AKAR(JUMLAH(PANGKAT(Normalisasi!$J$40-Konvergensi!$B$519;2);PANGKAT(Normalisasi!$K$40-Konvergensi!$C$519;2);PANGKAT(Normalisasi!$L$40-Konvergensi!$D$519;2);PANGKAT(Normalisasi!$M$40-Konvergensi!$E$519;2);PANGKAT(Normalisasi!$N$40-Konvergensi!$F$519;2);PANGKAT(Normalisasi!$O$40-Konvergensi!$G$519;2);PANGKAT(Normalisasi!$P$40-Konvergensi!$H$519;2)))</f>
        <v/>
      </c>
      <c r="D569">
        <f>AKAR(JUMLAH(PANGKAT(Normalisasi!$J$40-Konvergensi!$B$520;2);PANGKAT(Normalisasi!$K$40-Konvergensi!$C$520;2);PANGKAT(Normalisasi!$L$40-Konvergensi!$D$520;2);PANGKAT(Normalisasi!$M$40-Konvergensi!$E$520;2);PANGKAT(Normalisasi!$N$40-Konvergensi!$F$520;2);PANGKAT(Normalisasi!$O$40-Konvergensi!$G$520;2);PANGKAT(Normalisasi!$P$40-Konvergensi!$H$520;2)))</f>
        <v/>
      </c>
      <c r="E569">
        <f>AKAR(JUMLAH(PANGKAT(Normalisasi!$J$40-Konvergensi!$B$521;2);PANGKAT(Normalisasi!$K$40-Konvergensi!$C$521;2);PANGKAT(Normalisasi!$L$40-Konvergensi!$D$521;2);PANGKAT(Normalisasi!$M$40-Konvergensi!$E$521;2);PANGKAT(Normalisasi!$N$40-Konvergensi!$F$521;2);PANGKAT(Normalisasi!$O$40-Konvergensi!$G$521;2);PANGKAT(Normalisasi!$P$40-Konvergensi!$H$521;2)))</f>
        <v/>
      </c>
      <c r="F569">
        <f>JIKA(C569&lt;=D569;=JIKA(C569&lt;=E569;0;2);=JIKA(D569&lt;=E569;1;2))</f>
        <v/>
      </c>
      <c r="G569">
        <f>JUMLAH(JIKA(F569=0;JUMLAH(PANGKAT(Normalisasi!$J$40-Konvergensi!$B$584;2);PANGKAT(Normalisasi!$K$40-Konvergensi!$C$584;2);PANGKAT(Normalisasi!$L$40-Konvergensi!$D$584;2);PANGKAT(Normalisasi!$M$40-Konvergensi!$E$584;2);PANGKAT(Normalisasi!$N$40-Konvergensi!$F$584;2);PANGKAT(Normalisasi!$O$40-Konvergensi!$G$584;2);PANGKAT(Normalisasi!$P$40-Konvergensi!$H$584;2));0);JIKA(F569=1;JUMLAH(PANGKAT(Normalisasi!$J$40-Konvergensi!$B$585;2);PANGKAT(Normalisasi!$K$40-Konvergensi!$C$585;2);PANGKAT(Normalisasi!$L$40-Konvergensi!$D$585;2);PANGKAT(Normalisasi!$M$40-Konvergensi!$E$585;2);PANGKAT(Normalisasi!$N$40-Konvergensi!$F$585;2);PANGKAT(Normalisasi!$O$40-Konvergensi!$G$585;2);PANGKAT(Normalisasi!$P$40-Konvergensi!$H$585;2));0);JIKA(F569=2;JUMLAH(PANGKAT(Normalisasi!$J$40-Konvergensi!$B$586;2);PANGKAT(Normalisasi!$K$40-Konvergensi!$C$586;2);PANGKAT(Normalisasi!$L$40-Konvergensi!$D$586;2);PANGKAT(Normalisasi!$M$40-Konvergensi!$E$586;2);PANGKAT(Normalisasi!$N$40-Konvergensi!$F$586;2);PANGKAT(Normalisasi!$O$40-Konvergensi!$G$586;2);PANGKAT(Normalisasi!$P$40-Konvergensi!$H$586;2));0))</f>
        <v/>
      </c>
      <c r="H569" t="n">
        <v>1</v>
      </c>
      <c r="I569" t="n">
        <v>5.377265241702048</v>
      </c>
    </row>
    <row r="570">
      <c r="A570">
        <f>Data_Awal!A41</f>
        <v/>
      </c>
      <c r="B570">
        <f>Data_Awal!B41</f>
        <v/>
      </c>
      <c r="C570">
        <f>AKAR(JUMLAH(PANGKAT(Normalisasi!$J$41-Konvergensi!$B$519;2);PANGKAT(Normalisasi!$K$41-Konvergensi!$C$519;2);PANGKAT(Normalisasi!$L$41-Konvergensi!$D$519;2);PANGKAT(Normalisasi!$M$41-Konvergensi!$E$519;2);PANGKAT(Normalisasi!$N$41-Konvergensi!$F$519;2);PANGKAT(Normalisasi!$O$41-Konvergensi!$G$519;2);PANGKAT(Normalisasi!$P$41-Konvergensi!$H$519;2)))</f>
        <v/>
      </c>
      <c r="D570">
        <f>AKAR(JUMLAH(PANGKAT(Normalisasi!$J$41-Konvergensi!$B$520;2);PANGKAT(Normalisasi!$K$41-Konvergensi!$C$520;2);PANGKAT(Normalisasi!$L$41-Konvergensi!$D$520;2);PANGKAT(Normalisasi!$M$41-Konvergensi!$E$520;2);PANGKAT(Normalisasi!$N$41-Konvergensi!$F$520;2);PANGKAT(Normalisasi!$O$41-Konvergensi!$G$520;2);PANGKAT(Normalisasi!$P$41-Konvergensi!$H$520;2)))</f>
        <v/>
      </c>
      <c r="E570">
        <f>AKAR(JUMLAH(PANGKAT(Normalisasi!$J$41-Konvergensi!$B$521;2);PANGKAT(Normalisasi!$K$41-Konvergensi!$C$521;2);PANGKAT(Normalisasi!$L$41-Konvergensi!$D$521;2);PANGKAT(Normalisasi!$M$41-Konvergensi!$E$521;2);PANGKAT(Normalisasi!$N$41-Konvergensi!$F$521;2);PANGKAT(Normalisasi!$O$41-Konvergensi!$G$521;2);PANGKAT(Normalisasi!$P$41-Konvergensi!$H$521;2)))</f>
        <v/>
      </c>
      <c r="F570">
        <f>JIKA(C570&lt;=D570;=JIKA(C570&lt;=E570;0;2);=JIKA(D570&lt;=E570;1;2))</f>
        <v/>
      </c>
      <c r="G570">
        <f>JUMLAH(JIKA(F570=0;JUMLAH(PANGKAT(Normalisasi!$J$41-Konvergensi!$B$584;2);PANGKAT(Normalisasi!$K$41-Konvergensi!$C$584;2);PANGKAT(Normalisasi!$L$41-Konvergensi!$D$584;2);PANGKAT(Normalisasi!$M$41-Konvergensi!$E$584;2);PANGKAT(Normalisasi!$N$41-Konvergensi!$F$584;2);PANGKAT(Normalisasi!$O$41-Konvergensi!$G$584;2);PANGKAT(Normalisasi!$P$41-Konvergensi!$H$584;2));0);JIKA(F570=1;JUMLAH(PANGKAT(Normalisasi!$J$41-Konvergensi!$B$585;2);PANGKAT(Normalisasi!$K$41-Konvergensi!$C$585;2);PANGKAT(Normalisasi!$L$41-Konvergensi!$D$585;2);PANGKAT(Normalisasi!$M$41-Konvergensi!$E$585;2);PANGKAT(Normalisasi!$N$41-Konvergensi!$F$585;2);PANGKAT(Normalisasi!$O$41-Konvergensi!$G$585;2);PANGKAT(Normalisasi!$P$41-Konvergensi!$H$585;2));0);JIKA(F570=2;JUMLAH(PANGKAT(Normalisasi!$J$41-Konvergensi!$B$586;2);PANGKAT(Normalisasi!$K$41-Konvergensi!$C$586;2);PANGKAT(Normalisasi!$L$41-Konvergensi!$D$586;2);PANGKAT(Normalisasi!$M$41-Konvergensi!$E$586;2);PANGKAT(Normalisasi!$N$41-Konvergensi!$F$586;2);PANGKAT(Normalisasi!$O$41-Konvergensi!$G$586;2);PANGKAT(Normalisasi!$P$41-Konvergensi!$H$586;2));0))</f>
        <v/>
      </c>
      <c r="H570" t="n">
        <v>1</v>
      </c>
      <c r="I570" t="n">
        <v>6.528710760880894</v>
      </c>
    </row>
    <row r="571">
      <c r="A571">
        <f>Data_Awal!A42</f>
        <v/>
      </c>
      <c r="B571">
        <f>Data_Awal!B42</f>
        <v/>
      </c>
      <c r="C571">
        <f>AKAR(JUMLAH(PANGKAT(Normalisasi!$J$42-Konvergensi!$B$519;2);PANGKAT(Normalisasi!$K$42-Konvergensi!$C$519;2);PANGKAT(Normalisasi!$L$42-Konvergensi!$D$519;2);PANGKAT(Normalisasi!$M$42-Konvergensi!$E$519;2);PANGKAT(Normalisasi!$N$42-Konvergensi!$F$519;2);PANGKAT(Normalisasi!$O$42-Konvergensi!$G$519;2);PANGKAT(Normalisasi!$P$42-Konvergensi!$H$519;2)))</f>
        <v/>
      </c>
      <c r="D571">
        <f>AKAR(JUMLAH(PANGKAT(Normalisasi!$J$42-Konvergensi!$B$520;2);PANGKAT(Normalisasi!$K$42-Konvergensi!$C$520;2);PANGKAT(Normalisasi!$L$42-Konvergensi!$D$520;2);PANGKAT(Normalisasi!$M$42-Konvergensi!$E$520;2);PANGKAT(Normalisasi!$N$42-Konvergensi!$F$520;2);PANGKAT(Normalisasi!$O$42-Konvergensi!$G$520;2);PANGKAT(Normalisasi!$P$42-Konvergensi!$H$520;2)))</f>
        <v/>
      </c>
      <c r="E571">
        <f>AKAR(JUMLAH(PANGKAT(Normalisasi!$J$42-Konvergensi!$B$521;2);PANGKAT(Normalisasi!$K$42-Konvergensi!$C$521;2);PANGKAT(Normalisasi!$L$42-Konvergensi!$D$521;2);PANGKAT(Normalisasi!$M$42-Konvergensi!$E$521;2);PANGKAT(Normalisasi!$N$42-Konvergensi!$F$521;2);PANGKAT(Normalisasi!$O$42-Konvergensi!$G$521;2);PANGKAT(Normalisasi!$P$42-Konvergensi!$H$521;2)))</f>
        <v/>
      </c>
      <c r="F571">
        <f>JIKA(C571&lt;=D571;=JIKA(C571&lt;=E571;0;2);=JIKA(D571&lt;=E571;1;2))</f>
        <v/>
      </c>
      <c r="G571">
        <f>JUMLAH(JIKA(F571=0;JUMLAH(PANGKAT(Normalisasi!$J$42-Konvergensi!$B$584;2);PANGKAT(Normalisasi!$K$42-Konvergensi!$C$584;2);PANGKAT(Normalisasi!$L$42-Konvergensi!$D$584;2);PANGKAT(Normalisasi!$M$42-Konvergensi!$E$584;2);PANGKAT(Normalisasi!$N$42-Konvergensi!$F$584;2);PANGKAT(Normalisasi!$O$42-Konvergensi!$G$584;2);PANGKAT(Normalisasi!$P$42-Konvergensi!$H$584;2));0);JIKA(F571=1;JUMLAH(PANGKAT(Normalisasi!$J$42-Konvergensi!$B$585;2);PANGKAT(Normalisasi!$K$42-Konvergensi!$C$585;2);PANGKAT(Normalisasi!$L$42-Konvergensi!$D$585;2);PANGKAT(Normalisasi!$M$42-Konvergensi!$E$585;2);PANGKAT(Normalisasi!$N$42-Konvergensi!$F$585;2);PANGKAT(Normalisasi!$O$42-Konvergensi!$G$585;2);PANGKAT(Normalisasi!$P$42-Konvergensi!$H$585;2));0);JIKA(F571=2;JUMLAH(PANGKAT(Normalisasi!$J$42-Konvergensi!$B$586;2);PANGKAT(Normalisasi!$K$42-Konvergensi!$C$586;2);PANGKAT(Normalisasi!$L$42-Konvergensi!$D$586;2);PANGKAT(Normalisasi!$M$42-Konvergensi!$E$586;2);PANGKAT(Normalisasi!$N$42-Konvergensi!$F$586;2);PANGKAT(Normalisasi!$O$42-Konvergensi!$G$586;2);PANGKAT(Normalisasi!$P$42-Konvergensi!$H$586;2));0))</f>
        <v/>
      </c>
      <c r="H571" t="n">
        <v>2</v>
      </c>
      <c r="I571" t="n">
        <v>1.936223982288632</v>
      </c>
    </row>
    <row r="572">
      <c r="A572">
        <f>Data_Awal!A43</f>
        <v/>
      </c>
      <c r="B572">
        <f>Data_Awal!B43</f>
        <v/>
      </c>
      <c r="C572">
        <f>AKAR(JUMLAH(PANGKAT(Normalisasi!$J$43-Konvergensi!$B$519;2);PANGKAT(Normalisasi!$K$43-Konvergensi!$C$519;2);PANGKAT(Normalisasi!$L$43-Konvergensi!$D$519;2);PANGKAT(Normalisasi!$M$43-Konvergensi!$E$519;2);PANGKAT(Normalisasi!$N$43-Konvergensi!$F$519;2);PANGKAT(Normalisasi!$O$43-Konvergensi!$G$519;2);PANGKAT(Normalisasi!$P$43-Konvergensi!$H$519;2)))</f>
        <v/>
      </c>
      <c r="D572">
        <f>AKAR(JUMLAH(PANGKAT(Normalisasi!$J$43-Konvergensi!$B$520;2);PANGKAT(Normalisasi!$K$43-Konvergensi!$C$520;2);PANGKAT(Normalisasi!$L$43-Konvergensi!$D$520;2);PANGKAT(Normalisasi!$M$43-Konvergensi!$E$520;2);PANGKAT(Normalisasi!$N$43-Konvergensi!$F$520;2);PANGKAT(Normalisasi!$O$43-Konvergensi!$G$520;2);PANGKAT(Normalisasi!$P$43-Konvergensi!$H$520;2)))</f>
        <v/>
      </c>
      <c r="E572">
        <f>AKAR(JUMLAH(PANGKAT(Normalisasi!$J$43-Konvergensi!$B$521;2);PANGKAT(Normalisasi!$K$43-Konvergensi!$C$521;2);PANGKAT(Normalisasi!$L$43-Konvergensi!$D$521;2);PANGKAT(Normalisasi!$M$43-Konvergensi!$E$521;2);PANGKAT(Normalisasi!$N$43-Konvergensi!$F$521;2);PANGKAT(Normalisasi!$O$43-Konvergensi!$G$521;2);PANGKAT(Normalisasi!$P$43-Konvergensi!$H$521;2)))</f>
        <v/>
      </c>
      <c r="F572">
        <f>JIKA(C572&lt;=D572;=JIKA(C572&lt;=E572;0;2);=JIKA(D572&lt;=E572;1;2))</f>
        <v/>
      </c>
      <c r="G572">
        <f>JUMLAH(JIKA(F572=0;JUMLAH(PANGKAT(Normalisasi!$J$43-Konvergensi!$B$584;2);PANGKAT(Normalisasi!$K$43-Konvergensi!$C$584;2);PANGKAT(Normalisasi!$L$43-Konvergensi!$D$584;2);PANGKAT(Normalisasi!$M$43-Konvergensi!$E$584;2);PANGKAT(Normalisasi!$N$43-Konvergensi!$F$584;2);PANGKAT(Normalisasi!$O$43-Konvergensi!$G$584;2);PANGKAT(Normalisasi!$P$43-Konvergensi!$H$584;2));0);JIKA(F572=1;JUMLAH(PANGKAT(Normalisasi!$J$43-Konvergensi!$B$585;2);PANGKAT(Normalisasi!$K$43-Konvergensi!$C$585;2);PANGKAT(Normalisasi!$L$43-Konvergensi!$D$585;2);PANGKAT(Normalisasi!$M$43-Konvergensi!$E$585;2);PANGKAT(Normalisasi!$N$43-Konvergensi!$F$585;2);PANGKAT(Normalisasi!$O$43-Konvergensi!$G$585;2);PANGKAT(Normalisasi!$P$43-Konvergensi!$H$585;2));0);JIKA(F572=2;JUMLAH(PANGKAT(Normalisasi!$J$43-Konvergensi!$B$586;2);PANGKAT(Normalisasi!$K$43-Konvergensi!$C$586;2);PANGKAT(Normalisasi!$L$43-Konvergensi!$D$586;2);PANGKAT(Normalisasi!$M$43-Konvergensi!$E$586;2);PANGKAT(Normalisasi!$N$43-Konvergensi!$F$586;2);PANGKAT(Normalisasi!$O$43-Konvergensi!$G$586;2);PANGKAT(Normalisasi!$P$43-Konvergensi!$H$586;2));0))</f>
        <v/>
      </c>
      <c r="H572" t="n">
        <v>2</v>
      </c>
      <c r="I572" t="n">
        <v>6.177639778588163</v>
      </c>
    </row>
    <row r="573">
      <c r="A573">
        <f>Data_Awal!A44</f>
        <v/>
      </c>
      <c r="B573">
        <f>Data_Awal!B44</f>
        <v/>
      </c>
      <c r="C573">
        <f>AKAR(JUMLAH(PANGKAT(Normalisasi!$J$44-Konvergensi!$B$519;2);PANGKAT(Normalisasi!$K$44-Konvergensi!$C$519;2);PANGKAT(Normalisasi!$L$44-Konvergensi!$D$519;2);PANGKAT(Normalisasi!$M$44-Konvergensi!$E$519;2);PANGKAT(Normalisasi!$N$44-Konvergensi!$F$519;2);PANGKAT(Normalisasi!$O$44-Konvergensi!$G$519;2);PANGKAT(Normalisasi!$P$44-Konvergensi!$H$519;2)))</f>
        <v/>
      </c>
      <c r="D573">
        <f>AKAR(JUMLAH(PANGKAT(Normalisasi!$J$44-Konvergensi!$B$520;2);PANGKAT(Normalisasi!$K$44-Konvergensi!$C$520;2);PANGKAT(Normalisasi!$L$44-Konvergensi!$D$520;2);PANGKAT(Normalisasi!$M$44-Konvergensi!$E$520;2);PANGKAT(Normalisasi!$N$44-Konvergensi!$F$520;2);PANGKAT(Normalisasi!$O$44-Konvergensi!$G$520;2);PANGKAT(Normalisasi!$P$44-Konvergensi!$H$520;2)))</f>
        <v/>
      </c>
      <c r="E573">
        <f>AKAR(JUMLAH(PANGKAT(Normalisasi!$J$44-Konvergensi!$B$521;2);PANGKAT(Normalisasi!$K$44-Konvergensi!$C$521;2);PANGKAT(Normalisasi!$L$44-Konvergensi!$D$521;2);PANGKAT(Normalisasi!$M$44-Konvergensi!$E$521;2);PANGKAT(Normalisasi!$N$44-Konvergensi!$F$521;2);PANGKAT(Normalisasi!$O$44-Konvergensi!$G$521;2);PANGKAT(Normalisasi!$P$44-Konvergensi!$H$521;2)))</f>
        <v/>
      </c>
      <c r="F573">
        <f>JIKA(C573&lt;=D573;=JIKA(C573&lt;=E573;0;2);=JIKA(D573&lt;=E573;1;2))</f>
        <v/>
      </c>
      <c r="G573">
        <f>JUMLAH(JIKA(F573=0;JUMLAH(PANGKAT(Normalisasi!$J$44-Konvergensi!$B$584;2);PANGKAT(Normalisasi!$K$44-Konvergensi!$C$584;2);PANGKAT(Normalisasi!$L$44-Konvergensi!$D$584;2);PANGKAT(Normalisasi!$M$44-Konvergensi!$E$584;2);PANGKAT(Normalisasi!$N$44-Konvergensi!$F$584;2);PANGKAT(Normalisasi!$O$44-Konvergensi!$G$584;2);PANGKAT(Normalisasi!$P$44-Konvergensi!$H$584;2));0);JIKA(F573=1;JUMLAH(PANGKAT(Normalisasi!$J$44-Konvergensi!$B$585;2);PANGKAT(Normalisasi!$K$44-Konvergensi!$C$585;2);PANGKAT(Normalisasi!$L$44-Konvergensi!$D$585;2);PANGKAT(Normalisasi!$M$44-Konvergensi!$E$585;2);PANGKAT(Normalisasi!$N$44-Konvergensi!$F$585;2);PANGKAT(Normalisasi!$O$44-Konvergensi!$G$585;2);PANGKAT(Normalisasi!$P$44-Konvergensi!$H$585;2));0);JIKA(F573=2;JUMLAH(PANGKAT(Normalisasi!$J$44-Konvergensi!$B$586;2);PANGKAT(Normalisasi!$K$44-Konvergensi!$C$586;2);PANGKAT(Normalisasi!$L$44-Konvergensi!$D$586;2);PANGKAT(Normalisasi!$M$44-Konvergensi!$E$586;2);PANGKAT(Normalisasi!$N$44-Konvergensi!$F$586;2);PANGKAT(Normalisasi!$O$44-Konvergensi!$G$586;2);PANGKAT(Normalisasi!$P$44-Konvergensi!$H$586;2));0))</f>
        <v/>
      </c>
      <c r="H573" t="n">
        <v>2</v>
      </c>
      <c r="I573" t="n">
        <v>2.017331660286501</v>
      </c>
    </row>
    <row r="574">
      <c r="A574">
        <f>Data_Awal!A45</f>
        <v/>
      </c>
      <c r="B574">
        <f>Data_Awal!B45</f>
        <v/>
      </c>
      <c r="C574">
        <f>AKAR(JUMLAH(PANGKAT(Normalisasi!$J$45-Konvergensi!$B$519;2);PANGKAT(Normalisasi!$K$45-Konvergensi!$C$519;2);PANGKAT(Normalisasi!$L$45-Konvergensi!$D$519;2);PANGKAT(Normalisasi!$M$45-Konvergensi!$E$519;2);PANGKAT(Normalisasi!$N$45-Konvergensi!$F$519;2);PANGKAT(Normalisasi!$O$45-Konvergensi!$G$519;2);PANGKAT(Normalisasi!$P$45-Konvergensi!$H$519;2)))</f>
        <v/>
      </c>
      <c r="D574">
        <f>AKAR(JUMLAH(PANGKAT(Normalisasi!$J$45-Konvergensi!$B$520;2);PANGKAT(Normalisasi!$K$45-Konvergensi!$C$520;2);PANGKAT(Normalisasi!$L$45-Konvergensi!$D$520;2);PANGKAT(Normalisasi!$M$45-Konvergensi!$E$520;2);PANGKAT(Normalisasi!$N$45-Konvergensi!$F$520;2);PANGKAT(Normalisasi!$O$45-Konvergensi!$G$520;2);PANGKAT(Normalisasi!$P$45-Konvergensi!$H$520;2)))</f>
        <v/>
      </c>
      <c r="E574">
        <f>AKAR(JUMLAH(PANGKAT(Normalisasi!$J$45-Konvergensi!$B$521;2);PANGKAT(Normalisasi!$K$45-Konvergensi!$C$521;2);PANGKAT(Normalisasi!$L$45-Konvergensi!$D$521;2);PANGKAT(Normalisasi!$M$45-Konvergensi!$E$521;2);PANGKAT(Normalisasi!$N$45-Konvergensi!$F$521;2);PANGKAT(Normalisasi!$O$45-Konvergensi!$G$521;2);PANGKAT(Normalisasi!$P$45-Konvergensi!$H$521;2)))</f>
        <v/>
      </c>
      <c r="F574">
        <f>JIKA(C574&lt;=D574;=JIKA(C574&lt;=E574;0;2);=JIKA(D574&lt;=E574;1;2))</f>
        <v/>
      </c>
      <c r="G574">
        <f>JUMLAH(JIKA(F574=0;JUMLAH(PANGKAT(Normalisasi!$J$45-Konvergensi!$B$584;2);PANGKAT(Normalisasi!$K$45-Konvergensi!$C$584;2);PANGKAT(Normalisasi!$L$45-Konvergensi!$D$584;2);PANGKAT(Normalisasi!$M$45-Konvergensi!$E$584;2);PANGKAT(Normalisasi!$N$45-Konvergensi!$F$584;2);PANGKAT(Normalisasi!$O$45-Konvergensi!$G$584;2);PANGKAT(Normalisasi!$P$45-Konvergensi!$H$584;2));0);JIKA(F574=1;JUMLAH(PANGKAT(Normalisasi!$J$45-Konvergensi!$B$585;2);PANGKAT(Normalisasi!$K$45-Konvergensi!$C$585;2);PANGKAT(Normalisasi!$L$45-Konvergensi!$D$585;2);PANGKAT(Normalisasi!$M$45-Konvergensi!$E$585;2);PANGKAT(Normalisasi!$N$45-Konvergensi!$F$585;2);PANGKAT(Normalisasi!$O$45-Konvergensi!$G$585;2);PANGKAT(Normalisasi!$P$45-Konvergensi!$H$585;2));0);JIKA(F574=2;JUMLAH(PANGKAT(Normalisasi!$J$45-Konvergensi!$B$586;2);PANGKAT(Normalisasi!$K$45-Konvergensi!$C$586;2);PANGKAT(Normalisasi!$L$45-Konvergensi!$D$586;2);PANGKAT(Normalisasi!$M$45-Konvergensi!$E$586;2);PANGKAT(Normalisasi!$N$45-Konvergensi!$F$586;2);PANGKAT(Normalisasi!$O$45-Konvergensi!$G$586;2);PANGKAT(Normalisasi!$P$45-Konvergensi!$H$586;2));0))</f>
        <v/>
      </c>
      <c r="H574" t="n">
        <v>2</v>
      </c>
      <c r="I574" t="n">
        <v>5.402875836011569</v>
      </c>
    </row>
    <row r="575">
      <c r="A575">
        <f>Data_Awal!A46</f>
        <v/>
      </c>
      <c r="B575">
        <f>Data_Awal!B46</f>
        <v/>
      </c>
      <c r="C575">
        <f>AKAR(JUMLAH(PANGKAT(Normalisasi!$J$46-Konvergensi!$B$519;2);PANGKAT(Normalisasi!$K$46-Konvergensi!$C$519;2);PANGKAT(Normalisasi!$L$46-Konvergensi!$D$519;2);PANGKAT(Normalisasi!$M$46-Konvergensi!$E$519;2);PANGKAT(Normalisasi!$N$46-Konvergensi!$F$519;2);PANGKAT(Normalisasi!$O$46-Konvergensi!$G$519;2);PANGKAT(Normalisasi!$P$46-Konvergensi!$H$519;2)))</f>
        <v/>
      </c>
      <c r="D575">
        <f>AKAR(JUMLAH(PANGKAT(Normalisasi!$J$46-Konvergensi!$B$520;2);PANGKAT(Normalisasi!$K$46-Konvergensi!$C$520;2);PANGKAT(Normalisasi!$L$46-Konvergensi!$D$520;2);PANGKAT(Normalisasi!$M$46-Konvergensi!$E$520;2);PANGKAT(Normalisasi!$N$46-Konvergensi!$F$520;2);PANGKAT(Normalisasi!$O$46-Konvergensi!$G$520;2);PANGKAT(Normalisasi!$P$46-Konvergensi!$H$520;2)))</f>
        <v/>
      </c>
      <c r="E575">
        <f>AKAR(JUMLAH(PANGKAT(Normalisasi!$J$46-Konvergensi!$B$521;2);PANGKAT(Normalisasi!$K$46-Konvergensi!$C$521;2);PANGKAT(Normalisasi!$L$46-Konvergensi!$D$521;2);PANGKAT(Normalisasi!$M$46-Konvergensi!$E$521;2);PANGKAT(Normalisasi!$N$46-Konvergensi!$F$521;2);PANGKAT(Normalisasi!$O$46-Konvergensi!$G$521;2);PANGKAT(Normalisasi!$P$46-Konvergensi!$H$521;2)))</f>
        <v/>
      </c>
      <c r="F575">
        <f>JIKA(C575&lt;=D575;=JIKA(C575&lt;=E575;0;2);=JIKA(D575&lt;=E575;1;2))</f>
        <v/>
      </c>
      <c r="G575">
        <f>JUMLAH(JIKA(F575=0;JUMLAH(PANGKAT(Normalisasi!$J$46-Konvergensi!$B$584;2);PANGKAT(Normalisasi!$K$46-Konvergensi!$C$584;2);PANGKAT(Normalisasi!$L$46-Konvergensi!$D$584;2);PANGKAT(Normalisasi!$M$46-Konvergensi!$E$584;2);PANGKAT(Normalisasi!$N$46-Konvergensi!$F$584;2);PANGKAT(Normalisasi!$O$46-Konvergensi!$G$584;2);PANGKAT(Normalisasi!$P$46-Konvergensi!$H$584;2));0);JIKA(F575=1;JUMLAH(PANGKAT(Normalisasi!$J$46-Konvergensi!$B$585;2);PANGKAT(Normalisasi!$K$46-Konvergensi!$C$585;2);PANGKAT(Normalisasi!$L$46-Konvergensi!$D$585;2);PANGKAT(Normalisasi!$M$46-Konvergensi!$E$585;2);PANGKAT(Normalisasi!$N$46-Konvergensi!$F$585;2);PANGKAT(Normalisasi!$O$46-Konvergensi!$G$585;2);PANGKAT(Normalisasi!$P$46-Konvergensi!$H$585;2));0);JIKA(F575=2;JUMLAH(PANGKAT(Normalisasi!$J$46-Konvergensi!$B$586;2);PANGKAT(Normalisasi!$K$46-Konvergensi!$C$586;2);PANGKAT(Normalisasi!$L$46-Konvergensi!$D$586;2);PANGKAT(Normalisasi!$M$46-Konvergensi!$E$586;2);PANGKAT(Normalisasi!$N$46-Konvergensi!$F$586;2);PANGKAT(Normalisasi!$O$46-Konvergensi!$G$586;2);PANGKAT(Normalisasi!$P$46-Konvergensi!$H$586;2));0))</f>
        <v/>
      </c>
      <c r="H575" t="n">
        <v>2</v>
      </c>
      <c r="I575" t="n">
        <v>5.829762480032139</v>
      </c>
    </row>
    <row r="576">
      <c r="A576">
        <f>Data_Awal!A47</f>
        <v/>
      </c>
      <c r="B576">
        <f>Data_Awal!B47</f>
        <v/>
      </c>
      <c r="C576">
        <f>AKAR(JUMLAH(PANGKAT(Normalisasi!$J$47-Konvergensi!$B$519;2);PANGKAT(Normalisasi!$K$47-Konvergensi!$C$519;2);PANGKAT(Normalisasi!$L$47-Konvergensi!$D$519;2);PANGKAT(Normalisasi!$M$47-Konvergensi!$E$519;2);PANGKAT(Normalisasi!$N$47-Konvergensi!$F$519;2);PANGKAT(Normalisasi!$O$47-Konvergensi!$G$519;2);PANGKAT(Normalisasi!$P$47-Konvergensi!$H$519;2)))</f>
        <v/>
      </c>
      <c r="D576">
        <f>AKAR(JUMLAH(PANGKAT(Normalisasi!$J$47-Konvergensi!$B$520;2);PANGKAT(Normalisasi!$K$47-Konvergensi!$C$520;2);PANGKAT(Normalisasi!$L$47-Konvergensi!$D$520;2);PANGKAT(Normalisasi!$M$47-Konvergensi!$E$520;2);PANGKAT(Normalisasi!$N$47-Konvergensi!$F$520;2);PANGKAT(Normalisasi!$O$47-Konvergensi!$G$520;2);PANGKAT(Normalisasi!$P$47-Konvergensi!$H$520;2)))</f>
        <v/>
      </c>
      <c r="E576">
        <f>AKAR(JUMLAH(PANGKAT(Normalisasi!$J$47-Konvergensi!$B$521;2);PANGKAT(Normalisasi!$K$47-Konvergensi!$C$521;2);PANGKAT(Normalisasi!$L$47-Konvergensi!$D$521;2);PANGKAT(Normalisasi!$M$47-Konvergensi!$E$521;2);PANGKAT(Normalisasi!$N$47-Konvergensi!$F$521;2);PANGKAT(Normalisasi!$O$47-Konvergensi!$G$521;2);PANGKAT(Normalisasi!$P$47-Konvergensi!$H$521;2)))</f>
        <v/>
      </c>
      <c r="F576">
        <f>JIKA(C576&lt;=D576;=JIKA(C576&lt;=E576;0;2);=JIKA(D576&lt;=E576;1;2))</f>
        <v/>
      </c>
      <c r="G576">
        <f>JUMLAH(JIKA(F576=0;JUMLAH(PANGKAT(Normalisasi!$J$47-Konvergensi!$B$584;2);PANGKAT(Normalisasi!$K$47-Konvergensi!$C$584;2);PANGKAT(Normalisasi!$L$47-Konvergensi!$D$584;2);PANGKAT(Normalisasi!$M$47-Konvergensi!$E$584;2);PANGKAT(Normalisasi!$N$47-Konvergensi!$F$584;2);PANGKAT(Normalisasi!$O$47-Konvergensi!$G$584;2);PANGKAT(Normalisasi!$P$47-Konvergensi!$H$584;2));0);JIKA(F576=1;JUMLAH(PANGKAT(Normalisasi!$J$47-Konvergensi!$B$585;2);PANGKAT(Normalisasi!$K$47-Konvergensi!$C$585;2);PANGKAT(Normalisasi!$L$47-Konvergensi!$D$585;2);PANGKAT(Normalisasi!$M$47-Konvergensi!$E$585;2);PANGKAT(Normalisasi!$N$47-Konvergensi!$F$585;2);PANGKAT(Normalisasi!$O$47-Konvergensi!$G$585;2);PANGKAT(Normalisasi!$P$47-Konvergensi!$H$585;2));0);JIKA(F576=2;JUMLAH(PANGKAT(Normalisasi!$J$47-Konvergensi!$B$586;2);PANGKAT(Normalisasi!$K$47-Konvergensi!$C$586;2);PANGKAT(Normalisasi!$L$47-Konvergensi!$D$586;2);PANGKAT(Normalisasi!$M$47-Konvergensi!$E$586;2);PANGKAT(Normalisasi!$N$47-Konvergensi!$F$586;2);PANGKAT(Normalisasi!$O$47-Konvergensi!$G$586;2);PANGKAT(Normalisasi!$P$47-Konvergensi!$H$586;2));0))</f>
        <v/>
      </c>
      <c r="H576" t="n">
        <v>2</v>
      </c>
      <c r="I576" t="n">
        <v>3.259370226374349</v>
      </c>
    </row>
    <row r="577">
      <c r="A577">
        <f>Data_Awal!A48</f>
        <v/>
      </c>
      <c r="B577">
        <f>Data_Awal!B48</f>
        <v/>
      </c>
      <c r="C577">
        <f>AKAR(JUMLAH(PANGKAT(Normalisasi!$J$48-Konvergensi!$B$519;2);PANGKAT(Normalisasi!$K$48-Konvergensi!$C$519;2);PANGKAT(Normalisasi!$L$48-Konvergensi!$D$519;2);PANGKAT(Normalisasi!$M$48-Konvergensi!$E$519;2);PANGKAT(Normalisasi!$N$48-Konvergensi!$F$519;2);PANGKAT(Normalisasi!$O$48-Konvergensi!$G$519;2);PANGKAT(Normalisasi!$P$48-Konvergensi!$H$519;2)))</f>
        <v/>
      </c>
      <c r="D577">
        <f>AKAR(JUMLAH(PANGKAT(Normalisasi!$J$48-Konvergensi!$B$520;2);PANGKAT(Normalisasi!$K$48-Konvergensi!$C$520;2);PANGKAT(Normalisasi!$L$48-Konvergensi!$D$520;2);PANGKAT(Normalisasi!$M$48-Konvergensi!$E$520;2);PANGKAT(Normalisasi!$N$48-Konvergensi!$F$520;2);PANGKAT(Normalisasi!$O$48-Konvergensi!$G$520;2);PANGKAT(Normalisasi!$P$48-Konvergensi!$H$520;2)))</f>
        <v/>
      </c>
      <c r="E577">
        <f>AKAR(JUMLAH(PANGKAT(Normalisasi!$J$48-Konvergensi!$B$521;2);PANGKAT(Normalisasi!$K$48-Konvergensi!$C$521;2);PANGKAT(Normalisasi!$L$48-Konvergensi!$D$521;2);PANGKAT(Normalisasi!$M$48-Konvergensi!$E$521;2);PANGKAT(Normalisasi!$N$48-Konvergensi!$F$521;2);PANGKAT(Normalisasi!$O$48-Konvergensi!$G$521;2);PANGKAT(Normalisasi!$P$48-Konvergensi!$H$521;2)))</f>
        <v/>
      </c>
      <c r="F577">
        <f>JIKA(C577&lt;=D577;=JIKA(C577&lt;=E577;0;2);=JIKA(D577&lt;=E577;1;2))</f>
        <v/>
      </c>
      <c r="G577">
        <f>JUMLAH(JIKA(F577=0;JUMLAH(PANGKAT(Normalisasi!$J$48-Konvergensi!$B$584;2);PANGKAT(Normalisasi!$K$48-Konvergensi!$C$584;2);PANGKAT(Normalisasi!$L$48-Konvergensi!$D$584;2);PANGKAT(Normalisasi!$M$48-Konvergensi!$E$584;2);PANGKAT(Normalisasi!$N$48-Konvergensi!$F$584;2);PANGKAT(Normalisasi!$O$48-Konvergensi!$G$584;2);PANGKAT(Normalisasi!$P$48-Konvergensi!$H$584;2));0);JIKA(F577=1;JUMLAH(PANGKAT(Normalisasi!$J$48-Konvergensi!$B$585;2);PANGKAT(Normalisasi!$K$48-Konvergensi!$C$585;2);PANGKAT(Normalisasi!$L$48-Konvergensi!$D$585;2);PANGKAT(Normalisasi!$M$48-Konvergensi!$E$585;2);PANGKAT(Normalisasi!$N$48-Konvergensi!$F$585;2);PANGKAT(Normalisasi!$O$48-Konvergensi!$G$585;2);PANGKAT(Normalisasi!$P$48-Konvergensi!$H$585;2));0);JIKA(F577=2;JUMLAH(PANGKAT(Normalisasi!$J$48-Konvergensi!$B$586;2);PANGKAT(Normalisasi!$K$48-Konvergensi!$C$586;2);PANGKAT(Normalisasi!$L$48-Konvergensi!$D$586;2);PANGKAT(Normalisasi!$M$48-Konvergensi!$E$586;2);PANGKAT(Normalisasi!$N$48-Konvergensi!$F$586;2);PANGKAT(Normalisasi!$O$48-Konvergensi!$G$586;2);PANGKAT(Normalisasi!$P$48-Konvergensi!$H$586;2));0))</f>
        <v/>
      </c>
      <c r="H577" t="n">
        <v>1</v>
      </c>
      <c r="I577" t="n">
        <v>2.481879974083219</v>
      </c>
    </row>
    <row r="578">
      <c r="A578">
        <f>Data_Awal!A49</f>
        <v/>
      </c>
      <c r="B578">
        <f>Data_Awal!B49</f>
        <v/>
      </c>
      <c r="C578">
        <f>AKAR(JUMLAH(PANGKAT(Normalisasi!$J$49-Konvergensi!$B$519;2);PANGKAT(Normalisasi!$K$49-Konvergensi!$C$519;2);PANGKAT(Normalisasi!$L$49-Konvergensi!$D$519;2);PANGKAT(Normalisasi!$M$49-Konvergensi!$E$519;2);PANGKAT(Normalisasi!$N$49-Konvergensi!$F$519;2);PANGKAT(Normalisasi!$O$49-Konvergensi!$G$519;2);PANGKAT(Normalisasi!$P$49-Konvergensi!$H$519;2)))</f>
        <v/>
      </c>
      <c r="D578">
        <f>AKAR(JUMLAH(PANGKAT(Normalisasi!$J$49-Konvergensi!$B$520;2);PANGKAT(Normalisasi!$K$49-Konvergensi!$C$520;2);PANGKAT(Normalisasi!$L$49-Konvergensi!$D$520;2);PANGKAT(Normalisasi!$M$49-Konvergensi!$E$520;2);PANGKAT(Normalisasi!$N$49-Konvergensi!$F$520;2);PANGKAT(Normalisasi!$O$49-Konvergensi!$G$520;2);PANGKAT(Normalisasi!$P$49-Konvergensi!$H$520;2)))</f>
        <v/>
      </c>
      <c r="E578">
        <f>AKAR(JUMLAH(PANGKAT(Normalisasi!$J$49-Konvergensi!$B$521;2);PANGKAT(Normalisasi!$K$49-Konvergensi!$C$521;2);PANGKAT(Normalisasi!$L$49-Konvergensi!$D$521;2);PANGKAT(Normalisasi!$M$49-Konvergensi!$E$521;2);PANGKAT(Normalisasi!$N$49-Konvergensi!$F$521;2);PANGKAT(Normalisasi!$O$49-Konvergensi!$G$521;2);PANGKAT(Normalisasi!$P$49-Konvergensi!$H$521;2)))</f>
        <v/>
      </c>
      <c r="F578">
        <f>JIKA(C578&lt;=D578;=JIKA(C578&lt;=E578;0;2);=JIKA(D578&lt;=E578;1;2))</f>
        <v/>
      </c>
      <c r="G578">
        <f>JUMLAH(JIKA(F578=0;JUMLAH(PANGKAT(Normalisasi!$J$49-Konvergensi!$B$584;2);PANGKAT(Normalisasi!$K$49-Konvergensi!$C$584;2);PANGKAT(Normalisasi!$L$49-Konvergensi!$D$584;2);PANGKAT(Normalisasi!$M$49-Konvergensi!$E$584;2);PANGKAT(Normalisasi!$N$49-Konvergensi!$F$584;2);PANGKAT(Normalisasi!$O$49-Konvergensi!$G$584;2);PANGKAT(Normalisasi!$P$49-Konvergensi!$H$584;2));0);JIKA(F578=1;JUMLAH(PANGKAT(Normalisasi!$J$49-Konvergensi!$B$585;2);PANGKAT(Normalisasi!$K$49-Konvergensi!$C$585;2);PANGKAT(Normalisasi!$L$49-Konvergensi!$D$585;2);PANGKAT(Normalisasi!$M$49-Konvergensi!$E$585;2);PANGKAT(Normalisasi!$N$49-Konvergensi!$F$585;2);PANGKAT(Normalisasi!$O$49-Konvergensi!$G$585;2);PANGKAT(Normalisasi!$P$49-Konvergensi!$H$585;2));0);JIKA(F578=2;JUMLAH(PANGKAT(Normalisasi!$J$49-Konvergensi!$B$586;2);PANGKAT(Normalisasi!$K$49-Konvergensi!$C$586;2);PANGKAT(Normalisasi!$L$49-Konvergensi!$D$586;2);PANGKAT(Normalisasi!$M$49-Konvergensi!$E$586;2);PANGKAT(Normalisasi!$N$49-Konvergensi!$F$586;2);PANGKAT(Normalisasi!$O$49-Konvergensi!$G$586;2);PANGKAT(Normalisasi!$P$49-Konvergensi!$H$586;2));0))</f>
        <v/>
      </c>
      <c r="H578" t="n">
        <v>0</v>
      </c>
      <c r="I578" t="n">
        <v>2.252150897114312</v>
      </c>
    </row>
    <row r="579">
      <c r="A579">
        <f>Data_Awal!A50</f>
        <v/>
      </c>
      <c r="B579">
        <f>Data_Awal!B50</f>
        <v/>
      </c>
      <c r="C579">
        <f>AKAR(JUMLAH(PANGKAT(Normalisasi!$J$50-Konvergensi!$B$519;2);PANGKAT(Normalisasi!$K$50-Konvergensi!$C$519;2);PANGKAT(Normalisasi!$L$50-Konvergensi!$D$519;2);PANGKAT(Normalisasi!$M$50-Konvergensi!$E$519;2);PANGKAT(Normalisasi!$N$50-Konvergensi!$F$519;2);PANGKAT(Normalisasi!$O$50-Konvergensi!$G$519;2);PANGKAT(Normalisasi!$P$50-Konvergensi!$H$519;2)))</f>
        <v/>
      </c>
      <c r="D579">
        <f>AKAR(JUMLAH(PANGKAT(Normalisasi!$J$50-Konvergensi!$B$520;2);PANGKAT(Normalisasi!$K$50-Konvergensi!$C$520;2);PANGKAT(Normalisasi!$L$50-Konvergensi!$D$520;2);PANGKAT(Normalisasi!$M$50-Konvergensi!$E$520;2);PANGKAT(Normalisasi!$N$50-Konvergensi!$F$520;2);PANGKAT(Normalisasi!$O$50-Konvergensi!$G$520;2);PANGKAT(Normalisasi!$P$50-Konvergensi!$H$520;2)))</f>
        <v/>
      </c>
      <c r="E579">
        <f>AKAR(JUMLAH(PANGKAT(Normalisasi!$J$50-Konvergensi!$B$521;2);PANGKAT(Normalisasi!$K$50-Konvergensi!$C$521;2);PANGKAT(Normalisasi!$L$50-Konvergensi!$D$521;2);PANGKAT(Normalisasi!$M$50-Konvergensi!$E$521;2);PANGKAT(Normalisasi!$N$50-Konvergensi!$F$521;2);PANGKAT(Normalisasi!$O$50-Konvergensi!$G$521;2);PANGKAT(Normalisasi!$P$50-Konvergensi!$H$521;2)))</f>
        <v/>
      </c>
      <c r="F579">
        <f>JIKA(C579&lt;=D579;=JIKA(C579&lt;=E579;0;2);=JIKA(D579&lt;=E579;1;2))</f>
        <v/>
      </c>
      <c r="G579">
        <f>JUMLAH(JIKA(F579=0;JUMLAH(PANGKAT(Normalisasi!$J$50-Konvergensi!$B$584;2);PANGKAT(Normalisasi!$K$50-Konvergensi!$C$584;2);PANGKAT(Normalisasi!$L$50-Konvergensi!$D$584;2);PANGKAT(Normalisasi!$M$50-Konvergensi!$E$584;2);PANGKAT(Normalisasi!$N$50-Konvergensi!$F$584;2);PANGKAT(Normalisasi!$O$50-Konvergensi!$G$584;2);PANGKAT(Normalisasi!$P$50-Konvergensi!$H$584;2));0);JIKA(F579=1;JUMLAH(PANGKAT(Normalisasi!$J$50-Konvergensi!$B$585;2);PANGKAT(Normalisasi!$K$50-Konvergensi!$C$585;2);PANGKAT(Normalisasi!$L$50-Konvergensi!$D$585;2);PANGKAT(Normalisasi!$M$50-Konvergensi!$E$585;2);PANGKAT(Normalisasi!$N$50-Konvergensi!$F$585;2);PANGKAT(Normalisasi!$O$50-Konvergensi!$G$585;2);PANGKAT(Normalisasi!$P$50-Konvergensi!$H$585;2));0);JIKA(F579=2;JUMLAH(PANGKAT(Normalisasi!$J$50-Konvergensi!$B$586;2);PANGKAT(Normalisasi!$K$50-Konvergensi!$C$586;2);PANGKAT(Normalisasi!$L$50-Konvergensi!$D$586;2);PANGKAT(Normalisasi!$M$50-Konvergensi!$E$586;2);PANGKAT(Normalisasi!$N$50-Konvergensi!$F$586;2);PANGKAT(Normalisasi!$O$50-Konvergensi!$G$586;2);PANGKAT(Normalisasi!$P$50-Konvergensi!$H$586;2));0))</f>
        <v/>
      </c>
      <c r="H579" t="n">
        <v>0</v>
      </c>
      <c r="I579" t="n">
        <v>3.364593287365826</v>
      </c>
    </row>
    <row r="580">
      <c r="A580">
        <f>Data_Awal!A51</f>
        <v/>
      </c>
      <c r="B580">
        <f>Data_Awal!B51</f>
        <v/>
      </c>
      <c r="C580">
        <f>AKAR(JUMLAH(PANGKAT(Normalisasi!$J$51-Konvergensi!$B$519;2);PANGKAT(Normalisasi!$K$51-Konvergensi!$C$519;2);PANGKAT(Normalisasi!$L$51-Konvergensi!$D$519;2);PANGKAT(Normalisasi!$M$51-Konvergensi!$E$519;2);PANGKAT(Normalisasi!$N$51-Konvergensi!$F$519;2);PANGKAT(Normalisasi!$O$51-Konvergensi!$G$519;2);PANGKAT(Normalisasi!$P$51-Konvergensi!$H$519;2)))</f>
        <v/>
      </c>
      <c r="D580">
        <f>AKAR(JUMLAH(PANGKAT(Normalisasi!$J$51-Konvergensi!$B$520;2);PANGKAT(Normalisasi!$K$51-Konvergensi!$C$520;2);PANGKAT(Normalisasi!$L$51-Konvergensi!$D$520;2);PANGKAT(Normalisasi!$M$51-Konvergensi!$E$520;2);PANGKAT(Normalisasi!$N$51-Konvergensi!$F$520;2);PANGKAT(Normalisasi!$O$51-Konvergensi!$G$520;2);PANGKAT(Normalisasi!$P$51-Konvergensi!$H$520;2)))</f>
        <v/>
      </c>
      <c r="E580">
        <f>AKAR(JUMLAH(PANGKAT(Normalisasi!$J$51-Konvergensi!$B$521;2);PANGKAT(Normalisasi!$K$51-Konvergensi!$C$521;2);PANGKAT(Normalisasi!$L$51-Konvergensi!$D$521;2);PANGKAT(Normalisasi!$M$51-Konvergensi!$E$521;2);PANGKAT(Normalisasi!$N$51-Konvergensi!$F$521;2);PANGKAT(Normalisasi!$O$51-Konvergensi!$G$521;2);PANGKAT(Normalisasi!$P$51-Konvergensi!$H$521;2)))</f>
        <v/>
      </c>
      <c r="F580">
        <f>JIKA(C580&lt;=D580;=JIKA(C580&lt;=E580;0;2);=JIKA(D580&lt;=E580;1;2))</f>
        <v/>
      </c>
      <c r="G580">
        <f>JUMLAH(JIKA(F580=0;JUMLAH(PANGKAT(Normalisasi!$J$51-Konvergensi!$B$584;2);PANGKAT(Normalisasi!$K$51-Konvergensi!$C$584;2);PANGKAT(Normalisasi!$L$51-Konvergensi!$D$584;2);PANGKAT(Normalisasi!$M$51-Konvergensi!$E$584;2);PANGKAT(Normalisasi!$N$51-Konvergensi!$F$584;2);PANGKAT(Normalisasi!$O$51-Konvergensi!$G$584;2);PANGKAT(Normalisasi!$P$51-Konvergensi!$H$584;2));0);JIKA(F580=1;JUMLAH(PANGKAT(Normalisasi!$J$51-Konvergensi!$B$585;2);PANGKAT(Normalisasi!$K$51-Konvergensi!$C$585;2);PANGKAT(Normalisasi!$L$51-Konvergensi!$D$585;2);PANGKAT(Normalisasi!$M$51-Konvergensi!$E$585;2);PANGKAT(Normalisasi!$N$51-Konvergensi!$F$585;2);PANGKAT(Normalisasi!$O$51-Konvergensi!$G$585;2);PANGKAT(Normalisasi!$P$51-Konvergensi!$H$585;2));0);JIKA(F580=2;JUMLAH(PANGKAT(Normalisasi!$J$51-Konvergensi!$B$586;2);PANGKAT(Normalisasi!$K$51-Konvergensi!$C$586;2);PANGKAT(Normalisasi!$L$51-Konvergensi!$D$586;2);PANGKAT(Normalisasi!$M$51-Konvergensi!$E$586;2);PANGKAT(Normalisasi!$N$51-Konvergensi!$F$586;2);PANGKAT(Normalisasi!$O$51-Konvergensi!$G$586;2);PANGKAT(Normalisasi!$P$51-Konvergensi!$H$586;2));0))</f>
        <v/>
      </c>
      <c r="H580" t="n">
        <v>2</v>
      </c>
      <c r="I580" t="n">
        <v>2.455412199622026</v>
      </c>
    </row>
    <row r="582">
      <c r="A582" s="4" t="inlineStr">
        <is>
          <t>Centroid baru setelah iter 9</t>
        </is>
      </c>
    </row>
    <row r="583">
      <c r="A583" t="inlineStr">
        <is>
          <t>Cluster</t>
        </is>
      </c>
      <c r="B583" s="1" t="inlineStr">
        <is>
          <t>Z Latitude</t>
        </is>
      </c>
      <c r="C583" s="1" t="inlineStr">
        <is>
          <t>Z Longitude</t>
        </is>
      </c>
      <c r="D583" s="1" t="inlineStr">
        <is>
          <t>Z Semantic Score</t>
        </is>
      </c>
      <c r="E583" s="1" t="inlineStr">
        <is>
          <t>Z Jarak Hotel (m)</t>
        </is>
      </c>
      <c r="F583" s="1" t="inlineStr">
        <is>
          <t>Z Jarak Halte (m)</t>
        </is>
      </c>
      <c r="G583" s="1" t="inlineStr">
        <is>
          <t>Z Restoran 500m</t>
        </is>
      </c>
      <c r="H583" s="1" t="inlineStr">
        <is>
          <t>Z Minimarket 500m</t>
        </is>
      </c>
    </row>
    <row r="584">
      <c r="A584" t="inlineStr">
        <is>
          <t>C0</t>
        </is>
      </c>
      <c r="B584">
        <f>RATA.RATA.JIKA($F$531:$F$580;0;Normalisasi!$J$2:$J$51)</f>
        <v/>
      </c>
      <c r="C584">
        <f>RATA.RATA.JIKA($F$531:$F$580;0;Normalisasi!$K$2:$K$51)</f>
        <v/>
      </c>
      <c r="D584">
        <f>RATA.RATA.JIKA($F$531:$F$580;0;Normalisasi!$L$2:$L$51)</f>
        <v/>
      </c>
      <c r="E584">
        <f>RATA.RATA.JIKA($F$531:$F$580;0;Normalisasi!$M$2:$M$51)</f>
        <v/>
      </c>
      <c r="F584">
        <f>RATA.RATA.JIKA($F$531:$F$580;0;Normalisasi!$N$2:$N$51)</f>
        <v/>
      </c>
      <c r="G584">
        <f>RATA.RATA.JIKA($F$531:$F$580;0;Normalisasi!$O$2:$O$51)</f>
        <v/>
      </c>
      <c r="H584">
        <f>RATA.RATA.JIKA($F$531:$F$580;0;Normalisasi!$P$2:$P$51)</f>
        <v/>
      </c>
      <c r="J584" t="n">
        <v>-0.4746180730283263</v>
      </c>
      <c r="K584" t="n">
        <v>-0.05761442795175625</v>
      </c>
      <c r="L584" t="n">
        <v>-0.5698353044165315</v>
      </c>
      <c r="M584" t="n">
        <v>-0.4501723533058913</v>
      </c>
      <c r="N584" t="n">
        <v>-0.6030842404127611</v>
      </c>
      <c r="O584" t="n">
        <v>-0.7394225587985609</v>
      </c>
      <c r="P584" t="n">
        <v>0.007615508143310722</v>
      </c>
    </row>
    <row r="585">
      <c r="A585" t="inlineStr">
        <is>
          <t>C1</t>
        </is>
      </c>
      <c r="B585">
        <f>RATA.RATA.JIKA($F$531:$F$580;1;Normalisasi!$J$2:$J$51)</f>
        <v/>
      </c>
      <c r="C585">
        <f>RATA.RATA.JIKA($F$531:$F$580;1;Normalisasi!$K$2:$K$51)</f>
        <v/>
      </c>
      <c r="D585">
        <f>RATA.RATA.JIKA($F$531:$F$580;1;Normalisasi!$L$2:$L$51)</f>
        <v/>
      </c>
      <c r="E585">
        <f>RATA.RATA.JIKA($F$531:$F$580;1;Normalisasi!$M$2:$M$51)</f>
        <v/>
      </c>
      <c r="F585">
        <f>RATA.RATA.JIKA($F$531:$F$580;1;Normalisasi!$N$2:$N$51)</f>
        <v/>
      </c>
      <c r="G585">
        <f>RATA.RATA.JIKA($F$531:$F$580;1;Normalisasi!$O$2:$O$51)</f>
        <v/>
      </c>
      <c r="H585">
        <f>RATA.RATA.JIKA($F$531:$F$580;1;Normalisasi!$P$2:$P$51)</f>
        <v/>
      </c>
      <c r="J585" t="n">
        <v>-0.2130554528799716</v>
      </c>
      <c r="K585" t="n">
        <v>0.1131244561175998</v>
      </c>
      <c r="L585" t="n">
        <v>0.3407250115346307</v>
      </c>
      <c r="M585" t="n">
        <v>0.4655491846085689</v>
      </c>
      <c r="N585" t="n">
        <v>1.070404003170514</v>
      </c>
      <c r="O585" t="n">
        <v>0.3409213405072328</v>
      </c>
      <c r="P585" t="n">
        <v>-0.7153653834791738</v>
      </c>
    </row>
    <row r="586">
      <c r="A586" t="inlineStr">
        <is>
          <t>C2</t>
        </is>
      </c>
      <c r="B586">
        <f>RATA.RATA.JIKA($F$531:$F$580;2;Normalisasi!$J$2:$J$51)</f>
        <v/>
      </c>
      <c r="C586">
        <f>RATA.RATA.JIKA($F$531:$F$580;2;Normalisasi!$K$2:$K$51)</f>
        <v/>
      </c>
      <c r="D586">
        <f>RATA.RATA.JIKA($F$531:$F$580;2;Normalisasi!$L$2:$L$51)</f>
        <v/>
      </c>
      <c r="E586">
        <f>RATA.RATA.JIKA($F$531:$F$580;2;Normalisasi!$M$2:$M$51)</f>
        <v/>
      </c>
      <c r="F586">
        <f>RATA.RATA.JIKA($F$531:$F$580;2;Normalisasi!$N$2:$N$51)</f>
        <v/>
      </c>
      <c r="G586">
        <f>RATA.RATA.JIKA($F$531:$F$580;2;Normalisasi!$O$2:$O$51)</f>
        <v/>
      </c>
      <c r="H586">
        <f>RATA.RATA.JIKA($F$531:$F$580;2;Normalisasi!$P$2:$P$51)</f>
        <v/>
      </c>
      <c r="J586" t="n">
        <v>0.8284420422412161</v>
      </c>
      <c r="K586" t="n">
        <v>-0.04768781111953153</v>
      </c>
      <c r="L586" t="n">
        <v>0.358351373290665</v>
      </c>
      <c r="M586" t="n">
        <v>0.07363251727165547</v>
      </c>
      <c r="N586" t="n">
        <v>-0.377857565525719</v>
      </c>
      <c r="O586" t="n">
        <v>0.5729524779371286</v>
      </c>
      <c r="P586" t="n">
        <v>0.753410098729592</v>
      </c>
    </row>
    <row r="588">
      <c r="A588" t="inlineStr">
        <is>
          <t>Total WCSS (Excel)</t>
        </is>
      </c>
      <c r="B588">
        <f>JUMLAH($G$531:$G$580)</f>
        <v/>
      </c>
    </row>
    <row r="589">
      <c r="A589" t="inlineStr">
        <is>
          <t>Total WCSS (Python)</t>
        </is>
      </c>
      <c r="B589" t="n">
        <v>255.7844669921456</v>
      </c>
    </row>
    <row r="590">
      <c r="A590" t="inlineStr">
        <is>
          <t>Selisih WCSS</t>
        </is>
      </c>
      <c r="B590">
        <f>ABS(B588-B589)</f>
        <v/>
      </c>
    </row>
    <row r="591">
      <c r="A591" t="inlineStr">
        <is>
          <t>Label berubah?</t>
        </is>
      </c>
      <c r="B591">
        <f>JIKA(JUMLAH(JIKA($F$531:$F$580&lt;&gt;$F$531:$F$580;1;0))=0;"Tidak";"Ya")</f>
        <v/>
      </c>
    </row>
    <row r="592">
      <c r="A592" t="inlineStr">
        <is>
          <t>Max shift centroid</t>
        </is>
      </c>
      <c r="B592" t="n">
        <v>0.185935189112172</v>
      </c>
    </row>
    <row r="594">
      <c r="A594" s="4" t="inlineStr">
        <is>
          <t>ITER 10 — Assignment &amp; Centroid Baru</t>
        </is>
      </c>
    </row>
    <row r="595">
      <c r="A595" s="1" t="inlineStr">
        <is>
          <t>POI ID</t>
        </is>
      </c>
      <c r="B595" s="1" t="inlineStr">
        <is>
          <t>Nama</t>
        </is>
      </c>
      <c r="C595" s="1" t="inlineStr">
        <is>
          <t>d(C0)</t>
        </is>
      </c>
      <c r="D595" s="1" t="inlineStr">
        <is>
          <t>d(C1)</t>
        </is>
      </c>
      <c r="E595" s="1" t="inlineStr">
        <is>
          <t>d(C2)</t>
        </is>
      </c>
      <c r="F595" s="1" t="inlineStr">
        <is>
          <t>Cluster</t>
        </is>
      </c>
      <c r="G595" s="1" t="inlineStr">
        <is>
          <t>WCSS POI</t>
        </is>
      </c>
      <c r="H595" s="1" t="inlineStr">
        <is>
          <t>Py Cluster</t>
        </is>
      </c>
      <c r="I595" s="1" t="inlineStr">
        <is>
          <t>Py WCSS</t>
        </is>
      </c>
    </row>
    <row r="596">
      <c r="A596">
        <f>Data_Awal!A2</f>
        <v/>
      </c>
      <c r="B596">
        <f>Data_Awal!B2</f>
        <v/>
      </c>
      <c r="C596">
        <f>AKAR(JUMLAH(PANGKAT(Normalisasi!$J$2-Konvergensi!$B$584;2);PANGKAT(Normalisasi!$K$2-Konvergensi!$C$584;2);PANGKAT(Normalisasi!$L$2-Konvergensi!$D$584;2);PANGKAT(Normalisasi!$M$2-Konvergensi!$E$584;2);PANGKAT(Normalisasi!$N$2-Konvergensi!$F$584;2);PANGKAT(Normalisasi!$O$2-Konvergensi!$G$584;2);PANGKAT(Normalisasi!$P$2-Konvergensi!$H$584;2)))</f>
        <v/>
      </c>
      <c r="D596">
        <f>AKAR(JUMLAH(PANGKAT(Normalisasi!$J$2-Konvergensi!$B$585;2);PANGKAT(Normalisasi!$K$2-Konvergensi!$C$585;2);PANGKAT(Normalisasi!$L$2-Konvergensi!$D$585;2);PANGKAT(Normalisasi!$M$2-Konvergensi!$E$585;2);PANGKAT(Normalisasi!$N$2-Konvergensi!$F$585;2);PANGKAT(Normalisasi!$O$2-Konvergensi!$G$585;2);PANGKAT(Normalisasi!$P$2-Konvergensi!$H$585;2)))</f>
        <v/>
      </c>
      <c r="E596">
        <f>AKAR(JUMLAH(PANGKAT(Normalisasi!$J$2-Konvergensi!$B$586;2);PANGKAT(Normalisasi!$K$2-Konvergensi!$C$586;2);PANGKAT(Normalisasi!$L$2-Konvergensi!$D$586;2);PANGKAT(Normalisasi!$M$2-Konvergensi!$E$586;2);PANGKAT(Normalisasi!$N$2-Konvergensi!$F$586;2);PANGKAT(Normalisasi!$O$2-Konvergensi!$G$586;2);PANGKAT(Normalisasi!$P$2-Konvergensi!$H$586;2)))</f>
        <v/>
      </c>
      <c r="F596">
        <f>JIKA(C596&lt;=D596;=JIKA(C596&lt;=E596;0;2);=JIKA(D596&lt;=E596;1;2))</f>
        <v/>
      </c>
      <c r="G596">
        <f>JUMLAH(JIKA(F596=0;JUMLAH(PANGKAT(Normalisasi!$J$2-Konvergensi!$B$649;2);PANGKAT(Normalisasi!$K$2-Konvergensi!$C$649;2);PANGKAT(Normalisasi!$L$2-Konvergensi!$D$649;2);PANGKAT(Normalisasi!$M$2-Konvergensi!$E$649;2);PANGKAT(Normalisasi!$N$2-Konvergensi!$F$649;2);PANGKAT(Normalisasi!$O$2-Konvergensi!$G$649;2);PANGKAT(Normalisasi!$P$2-Konvergensi!$H$649;2));0);JIKA(F596=1;JUMLAH(PANGKAT(Normalisasi!$J$2-Konvergensi!$B$650;2);PANGKAT(Normalisasi!$K$2-Konvergensi!$C$650;2);PANGKAT(Normalisasi!$L$2-Konvergensi!$D$650;2);PANGKAT(Normalisasi!$M$2-Konvergensi!$E$650;2);PANGKAT(Normalisasi!$N$2-Konvergensi!$F$650;2);PANGKAT(Normalisasi!$O$2-Konvergensi!$G$650;2);PANGKAT(Normalisasi!$P$2-Konvergensi!$H$650;2));0);JIKA(F596=2;JUMLAH(PANGKAT(Normalisasi!$J$2-Konvergensi!$B$651;2);PANGKAT(Normalisasi!$K$2-Konvergensi!$C$651;2);PANGKAT(Normalisasi!$L$2-Konvergensi!$D$651;2);PANGKAT(Normalisasi!$M$2-Konvergensi!$E$651;2);PANGKAT(Normalisasi!$N$2-Konvergensi!$F$651;2);PANGKAT(Normalisasi!$O$2-Konvergensi!$G$651;2);PANGKAT(Normalisasi!$P$2-Konvergensi!$H$651;2));0))</f>
        <v/>
      </c>
      <c r="H596" t="n">
        <v>2</v>
      </c>
      <c r="I596" t="n">
        <v>5.549130049778348</v>
      </c>
    </row>
    <row r="597">
      <c r="A597">
        <f>Data_Awal!A3</f>
        <v/>
      </c>
      <c r="B597">
        <f>Data_Awal!B3</f>
        <v/>
      </c>
      <c r="C597">
        <f>AKAR(JUMLAH(PANGKAT(Normalisasi!$J$3-Konvergensi!$B$584;2);PANGKAT(Normalisasi!$K$3-Konvergensi!$C$584;2);PANGKAT(Normalisasi!$L$3-Konvergensi!$D$584;2);PANGKAT(Normalisasi!$M$3-Konvergensi!$E$584;2);PANGKAT(Normalisasi!$N$3-Konvergensi!$F$584;2);PANGKAT(Normalisasi!$O$3-Konvergensi!$G$584;2);PANGKAT(Normalisasi!$P$3-Konvergensi!$H$584;2)))</f>
        <v/>
      </c>
      <c r="D597">
        <f>AKAR(JUMLAH(PANGKAT(Normalisasi!$J$3-Konvergensi!$B$585;2);PANGKAT(Normalisasi!$K$3-Konvergensi!$C$585;2);PANGKAT(Normalisasi!$L$3-Konvergensi!$D$585;2);PANGKAT(Normalisasi!$M$3-Konvergensi!$E$585;2);PANGKAT(Normalisasi!$N$3-Konvergensi!$F$585;2);PANGKAT(Normalisasi!$O$3-Konvergensi!$G$585;2);PANGKAT(Normalisasi!$P$3-Konvergensi!$H$585;2)))</f>
        <v/>
      </c>
      <c r="E597">
        <f>AKAR(JUMLAH(PANGKAT(Normalisasi!$J$3-Konvergensi!$B$586;2);PANGKAT(Normalisasi!$K$3-Konvergensi!$C$586;2);PANGKAT(Normalisasi!$L$3-Konvergensi!$D$586;2);PANGKAT(Normalisasi!$M$3-Konvergensi!$E$586;2);PANGKAT(Normalisasi!$N$3-Konvergensi!$F$586;2);PANGKAT(Normalisasi!$O$3-Konvergensi!$G$586;2);PANGKAT(Normalisasi!$P$3-Konvergensi!$H$586;2)))</f>
        <v/>
      </c>
      <c r="F597">
        <f>JIKA(C597&lt;=D597;=JIKA(C597&lt;=E597;0;2);=JIKA(D597&lt;=E597;1;2))</f>
        <v/>
      </c>
      <c r="G597">
        <f>JUMLAH(JIKA(F597=0;JUMLAH(PANGKAT(Normalisasi!$J$3-Konvergensi!$B$649;2);PANGKAT(Normalisasi!$K$3-Konvergensi!$C$649;2);PANGKAT(Normalisasi!$L$3-Konvergensi!$D$649;2);PANGKAT(Normalisasi!$M$3-Konvergensi!$E$649;2);PANGKAT(Normalisasi!$N$3-Konvergensi!$F$649;2);PANGKAT(Normalisasi!$O$3-Konvergensi!$G$649;2);PANGKAT(Normalisasi!$P$3-Konvergensi!$H$649;2));0);JIKA(F597=1;JUMLAH(PANGKAT(Normalisasi!$J$3-Konvergensi!$B$650;2);PANGKAT(Normalisasi!$K$3-Konvergensi!$C$650;2);PANGKAT(Normalisasi!$L$3-Konvergensi!$D$650;2);PANGKAT(Normalisasi!$M$3-Konvergensi!$E$650;2);PANGKAT(Normalisasi!$N$3-Konvergensi!$F$650;2);PANGKAT(Normalisasi!$O$3-Konvergensi!$G$650;2);PANGKAT(Normalisasi!$P$3-Konvergensi!$H$650;2));0);JIKA(F597=2;JUMLAH(PANGKAT(Normalisasi!$J$3-Konvergensi!$B$651;2);PANGKAT(Normalisasi!$K$3-Konvergensi!$C$651;2);PANGKAT(Normalisasi!$L$3-Konvergensi!$D$651;2);PANGKAT(Normalisasi!$M$3-Konvergensi!$E$651;2);PANGKAT(Normalisasi!$N$3-Konvergensi!$F$651;2);PANGKAT(Normalisasi!$O$3-Konvergensi!$G$651;2);PANGKAT(Normalisasi!$P$3-Konvergensi!$H$651;2));0))</f>
        <v/>
      </c>
      <c r="H597" t="n">
        <v>1</v>
      </c>
      <c r="I597" t="n">
        <v>6.23025285156297</v>
      </c>
    </row>
    <row r="598">
      <c r="A598">
        <f>Data_Awal!A4</f>
        <v/>
      </c>
      <c r="B598">
        <f>Data_Awal!B4</f>
        <v/>
      </c>
      <c r="C598">
        <f>AKAR(JUMLAH(PANGKAT(Normalisasi!$J$4-Konvergensi!$B$584;2);PANGKAT(Normalisasi!$K$4-Konvergensi!$C$584;2);PANGKAT(Normalisasi!$L$4-Konvergensi!$D$584;2);PANGKAT(Normalisasi!$M$4-Konvergensi!$E$584;2);PANGKAT(Normalisasi!$N$4-Konvergensi!$F$584;2);PANGKAT(Normalisasi!$O$4-Konvergensi!$G$584;2);PANGKAT(Normalisasi!$P$4-Konvergensi!$H$584;2)))</f>
        <v/>
      </c>
      <c r="D598">
        <f>AKAR(JUMLAH(PANGKAT(Normalisasi!$J$4-Konvergensi!$B$585;2);PANGKAT(Normalisasi!$K$4-Konvergensi!$C$585;2);PANGKAT(Normalisasi!$L$4-Konvergensi!$D$585;2);PANGKAT(Normalisasi!$M$4-Konvergensi!$E$585;2);PANGKAT(Normalisasi!$N$4-Konvergensi!$F$585;2);PANGKAT(Normalisasi!$O$4-Konvergensi!$G$585;2);PANGKAT(Normalisasi!$P$4-Konvergensi!$H$585;2)))</f>
        <v/>
      </c>
      <c r="E598">
        <f>AKAR(JUMLAH(PANGKAT(Normalisasi!$J$4-Konvergensi!$B$586;2);PANGKAT(Normalisasi!$K$4-Konvergensi!$C$586;2);PANGKAT(Normalisasi!$L$4-Konvergensi!$D$586;2);PANGKAT(Normalisasi!$M$4-Konvergensi!$E$586;2);PANGKAT(Normalisasi!$N$4-Konvergensi!$F$586;2);PANGKAT(Normalisasi!$O$4-Konvergensi!$G$586;2);PANGKAT(Normalisasi!$P$4-Konvergensi!$H$586;2)))</f>
        <v/>
      </c>
      <c r="F598">
        <f>JIKA(C598&lt;=D598;=JIKA(C598&lt;=E598;0;2);=JIKA(D598&lt;=E598;1;2))</f>
        <v/>
      </c>
      <c r="G598">
        <f>JUMLAH(JIKA(F598=0;JUMLAH(PANGKAT(Normalisasi!$J$4-Konvergensi!$B$649;2);PANGKAT(Normalisasi!$K$4-Konvergensi!$C$649;2);PANGKAT(Normalisasi!$L$4-Konvergensi!$D$649;2);PANGKAT(Normalisasi!$M$4-Konvergensi!$E$649;2);PANGKAT(Normalisasi!$N$4-Konvergensi!$F$649;2);PANGKAT(Normalisasi!$O$4-Konvergensi!$G$649;2);PANGKAT(Normalisasi!$P$4-Konvergensi!$H$649;2));0);JIKA(F598=1;JUMLAH(PANGKAT(Normalisasi!$J$4-Konvergensi!$B$650;2);PANGKAT(Normalisasi!$K$4-Konvergensi!$C$650;2);PANGKAT(Normalisasi!$L$4-Konvergensi!$D$650;2);PANGKAT(Normalisasi!$M$4-Konvergensi!$E$650;2);PANGKAT(Normalisasi!$N$4-Konvergensi!$F$650;2);PANGKAT(Normalisasi!$O$4-Konvergensi!$G$650;2);PANGKAT(Normalisasi!$P$4-Konvergensi!$H$650;2));0);JIKA(F598=2;JUMLAH(PANGKAT(Normalisasi!$J$4-Konvergensi!$B$651;2);PANGKAT(Normalisasi!$K$4-Konvergensi!$C$651;2);PANGKAT(Normalisasi!$L$4-Konvergensi!$D$651;2);PANGKAT(Normalisasi!$M$4-Konvergensi!$E$651;2);PANGKAT(Normalisasi!$N$4-Konvergensi!$F$651;2);PANGKAT(Normalisasi!$O$4-Konvergensi!$G$651;2);PANGKAT(Normalisasi!$P$4-Konvergensi!$H$651;2));0))</f>
        <v/>
      </c>
      <c r="H598" t="n">
        <v>1</v>
      </c>
      <c r="I598" t="n">
        <v>5.699312262706178</v>
      </c>
    </row>
    <row r="599">
      <c r="A599">
        <f>Data_Awal!A5</f>
        <v/>
      </c>
      <c r="B599">
        <f>Data_Awal!B5</f>
        <v/>
      </c>
      <c r="C599">
        <f>AKAR(JUMLAH(PANGKAT(Normalisasi!$J$5-Konvergensi!$B$584;2);PANGKAT(Normalisasi!$K$5-Konvergensi!$C$584;2);PANGKAT(Normalisasi!$L$5-Konvergensi!$D$584;2);PANGKAT(Normalisasi!$M$5-Konvergensi!$E$584;2);PANGKAT(Normalisasi!$N$5-Konvergensi!$F$584;2);PANGKAT(Normalisasi!$O$5-Konvergensi!$G$584;2);PANGKAT(Normalisasi!$P$5-Konvergensi!$H$584;2)))</f>
        <v/>
      </c>
      <c r="D599">
        <f>AKAR(JUMLAH(PANGKAT(Normalisasi!$J$5-Konvergensi!$B$585;2);PANGKAT(Normalisasi!$K$5-Konvergensi!$C$585;2);PANGKAT(Normalisasi!$L$5-Konvergensi!$D$585;2);PANGKAT(Normalisasi!$M$5-Konvergensi!$E$585;2);PANGKAT(Normalisasi!$N$5-Konvergensi!$F$585;2);PANGKAT(Normalisasi!$O$5-Konvergensi!$G$585;2);PANGKAT(Normalisasi!$P$5-Konvergensi!$H$585;2)))</f>
        <v/>
      </c>
      <c r="E599">
        <f>AKAR(JUMLAH(PANGKAT(Normalisasi!$J$5-Konvergensi!$B$586;2);PANGKAT(Normalisasi!$K$5-Konvergensi!$C$586;2);PANGKAT(Normalisasi!$L$5-Konvergensi!$D$586;2);PANGKAT(Normalisasi!$M$5-Konvergensi!$E$586;2);PANGKAT(Normalisasi!$N$5-Konvergensi!$F$586;2);PANGKAT(Normalisasi!$O$5-Konvergensi!$G$586;2);PANGKAT(Normalisasi!$P$5-Konvergensi!$H$586;2)))</f>
        <v/>
      </c>
      <c r="F599">
        <f>JIKA(C599&lt;=D599;=JIKA(C599&lt;=E599;0;2);=JIKA(D599&lt;=E599;1;2))</f>
        <v/>
      </c>
      <c r="G599">
        <f>JUMLAH(JIKA(F599=0;JUMLAH(PANGKAT(Normalisasi!$J$5-Konvergensi!$B$649;2);PANGKAT(Normalisasi!$K$5-Konvergensi!$C$649;2);PANGKAT(Normalisasi!$L$5-Konvergensi!$D$649;2);PANGKAT(Normalisasi!$M$5-Konvergensi!$E$649;2);PANGKAT(Normalisasi!$N$5-Konvergensi!$F$649;2);PANGKAT(Normalisasi!$O$5-Konvergensi!$G$649;2);PANGKAT(Normalisasi!$P$5-Konvergensi!$H$649;2));0);JIKA(F599=1;JUMLAH(PANGKAT(Normalisasi!$J$5-Konvergensi!$B$650;2);PANGKAT(Normalisasi!$K$5-Konvergensi!$C$650;2);PANGKAT(Normalisasi!$L$5-Konvergensi!$D$650;2);PANGKAT(Normalisasi!$M$5-Konvergensi!$E$650;2);PANGKAT(Normalisasi!$N$5-Konvergensi!$F$650;2);PANGKAT(Normalisasi!$O$5-Konvergensi!$G$650;2);PANGKAT(Normalisasi!$P$5-Konvergensi!$H$650;2));0);JIKA(F599=2;JUMLAH(PANGKAT(Normalisasi!$J$5-Konvergensi!$B$651;2);PANGKAT(Normalisasi!$K$5-Konvergensi!$C$651;2);PANGKAT(Normalisasi!$L$5-Konvergensi!$D$651;2);PANGKAT(Normalisasi!$M$5-Konvergensi!$E$651;2);PANGKAT(Normalisasi!$N$5-Konvergensi!$F$651;2);PANGKAT(Normalisasi!$O$5-Konvergensi!$G$651;2);PANGKAT(Normalisasi!$P$5-Konvergensi!$H$651;2));0))</f>
        <v/>
      </c>
      <c r="H599" t="n">
        <v>0</v>
      </c>
      <c r="I599" t="n">
        <v>5.705601018088053</v>
      </c>
    </row>
    <row r="600">
      <c r="A600">
        <f>Data_Awal!A6</f>
        <v/>
      </c>
      <c r="B600">
        <f>Data_Awal!B6</f>
        <v/>
      </c>
      <c r="C600">
        <f>AKAR(JUMLAH(PANGKAT(Normalisasi!$J$6-Konvergensi!$B$584;2);PANGKAT(Normalisasi!$K$6-Konvergensi!$C$584;2);PANGKAT(Normalisasi!$L$6-Konvergensi!$D$584;2);PANGKAT(Normalisasi!$M$6-Konvergensi!$E$584;2);PANGKAT(Normalisasi!$N$6-Konvergensi!$F$584;2);PANGKAT(Normalisasi!$O$6-Konvergensi!$G$584;2);PANGKAT(Normalisasi!$P$6-Konvergensi!$H$584;2)))</f>
        <v/>
      </c>
      <c r="D600">
        <f>AKAR(JUMLAH(PANGKAT(Normalisasi!$J$6-Konvergensi!$B$585;2);PANGKAT(Normalisasi!$K$6-Konvergensi!$C$585;2);PANGKAT(Normalisasi!$L$6-Konvergensi!$D$585;2);PANGKAT(Normalisasi!$M$6-Konvergensi!$E$585;2);PANGKAT(Normalisasi!$N$6-Konvergensi!$F$585;2);PANGKAT(Normalisasi!$O$6-Konvergensi!$G$585;2);PANGKAT(Normalisasi!$P$6-Konvergensi!$H$585;2)))</f>
        <v/>
      </c>
      <c r="E600">
        <f>AKAR(JUMLAH(PANGKAT(Normalisasi!$J$6-Konvergensi!$B$586;2);PANGKAT(Normalisasi!$K$6-Konvergensi!$C$586;2);PANGKAT(Normalisasi!$L$6-Konvergensi!$D$586;2);PANGKAT(Normalisasi!$M$6-Konvergensi!$E$586;2);PANGKAT(Normalisasi!$N$6-Konvergensi!$F$586;2);PANGKAT(Normalisasi!$O$6-Konvergensi!$G$586;2);PANGKAT(Normalisasi!$P$6-Konvergensi!$H$586;2)))</f>
        <v/>
      </c>
      <c r="F600">
        <f>JIKA(C600&lt;=D600;=JIKA(C600&lt;=E600;0;2);=JIKA(D600&lt;=E600;1;2))</f>
        <v/>
      </c>
      <c r="G600">
        <f>JUMLAH(JIKA(F600=0;JUMLAH(PANGKAT(Normalisasi!$J$6-Konvergensi!$B$649;2);PANGKAT(Normalisasi!$K$6-Konvergensi!$C$649;2);PANGKAT(Normalisasi!$L$6-Konvergensi!$D$649;2);PANGKAT(Normalisasi!$M$6-Konvergensi!$E$649;2);PANGKAT(Normalisasi!$N$6-Konvergensi!$F$649;2);PANGKAT(Normalisasi!$O$6-Konvergensi!$G$649;2);PANGKAT(Normalisasi!$P$6-Konvergensi!$H$649;2));0);JIKA(F600=1;JUMLAH(PANGKAT(Normalisasi!$J$6-Konvergensi!$B$650;2);PANGKAT(Normalisasi!$K$6-Konvergensi!$C$650;2);PANGKAT(Normalisasi!$L$6-Konvergensi!$D$650;2);PANGKAT(Normalisasi!$M$6-Konvergensi!$E$650;2);PANGKAT(Normalisasi!$N$6-Konvergensi!$F$650;2);PANGKAT(Normalisasi!$O$6-Konvergensi!$G$650;2);PANGKAT(Normalisasi!$P$6-Konvergensi!$H$650;2));0);JIKA(F600=2;JUMLAH(PANGKAT(Normalisasi!$J$6-Konvergensi!$B$651;2);PANGKAT(Normalisasi!$K$6-Konvergensi!$C$651;2);PANGKAT(Normalisasi!$L$6-Konvergensi!$D$651;2);PANGKAT(Normalisasi!$M$6-Konvergensi!$E$651;2);PANGKAT(Normalisasi!$N$6-Konvergensi!$F$651;2);PANGKAT(Normalisasi!$O$6-Konvergensi!$G$651;2);PANGKAT(Normalisasi!$P$6-Konvergensi!$H$651;2));0))</f>
        <v/>
      </c>
      <c r="H600" t="n">
        <v>0</v>
      </c>
      <c r="I600" t="n">
        <v>5.372559188598953</v>
      </c>
    </row>
    <row r="601">
      <c r="A601">
        <f>Data_Awal!A7</f>
        <v/>
      </c>
      <c r="B601">
        <f>Data_Awal!B7</f>
        <v/>
      </c>
      <c r="C601">
        <f>AKAR(JUMLAH(PANGKAT(Normalisasi!$J$7-Konvergensi!$B$584;2);PANGKAT(Normalisasi!$K$7-Konvergensi!$C$584;2);PANGKAT(Normalisasi!$L$7-Konvergensi!$D$584;2);PANGKAT(Normalisasi!$M$7-Konvergensi!$E$584;2);PANGKAT(Normalisasi!$N$7-Konvergensi!$F$584;2);PANGKAT(Normalisasi!$O$7-Konvergensi!$G$584;2);PANGKAT(Normalisasi!$P$7-Konvergensi!$H$584;2)))</f>
        <v/>
      </c>
      <c r="D601">
        <f>AKAR(JUMLAH(PANGKAT(Normalisasi!$J$7-Konvergensi!$B$585;2);PANGKAT(Normalisasi!$K$7-Konvergensi!$C$585;2);PANGKAT(Normalisasi!$L$7-Konvergensi!$D$585;2);PANGKAT(Normalisasi!$M$7-Konvergensi!$E$585;2);PANGKAT(Normalisasi!$N$7-Konvergensi!$F$585;2);PANGKAT(Normalisasi!$O$7-Konvergensi!$G$585;2);PANGKAT(Normalisasi!$P$7-Konvergensi!$H$585;2)))</f>
        <v/>
      </c>
      <c r="E601">
        <f>AKAR(JUMLAH(PANGKAT(Normalisasi!$J$7-Konvergensi!$B$586;2);PANGKAT(Normalisasi!$K$7-Konvergensi!$C$586;2);PANGKAT(Normalisasi!$L$7-Konvergensi!$D$586;2);PANGKAT(Normalisasi!$M$7-Konvergensi!$E$586;2);PANGKAT(Normalisasi!$N$7-Konvergensi!$F$586;2);PANGKAT(Normalisasi!$O$7-Konvergensi!$G$586;2);PANGKAT(Normalisasi!$P$7-Konvergensi!$H$586;2)))</f>
        <v/>
      </c>
      <c r="F601">
        <f>JIKA(C601&lt;=D601;=JIKA(C601&lt;=E601;0;2);=JIKA(D601&lt;=E601;1;2))</f>
        <v/>
      </c>
      <c r="G601">
        <f>JUMLAH(JIKA(F601=0;JUMLAH(PANGKAT(Normalisasi!$J$7-Konvergensi!$B$649;2);PANGKAT(Normalisasi!$K$7-Konvergensi!$C$649;2);PANGKAT(Normalisasi!$L$7-Konvergensi!$D$649;2);PANGKAT(Normalisasi!$M$7-Konvergensi!$E$649;2);PANGKAT(Normalisasi!$N$7-Konvergensi!$F$649;2);PANGKAT(Normalisasi!$O$7-Konvergensi!$G$649;2);PANGKAT(Normalisasi!$P$7-Konvergensi!$H$649;2));0);JIKA(F601=1;JUMLAH(PANGKAT(Normalisasi!$J$7-Konvergensi!$B$650;2);PANGKAT(Normalisasi!$K$7-Konvergensi!$C$650;2);PANGKAT(Normalisasi!$L$7-Konvergensi!$D$650;2);PANGKAT(Normalisasi!$M$7-Konvergensi!$E$650;2);PANGKAT(Normalisasi!$N$7-Konvergensi!$F$650;2);PANGKAT(Normalisasi!$O$7-Konvergensi!$G$650;2);PANGKAT(Normalisasi!$P$7-Konvergensi!$H$650;2));0);JIKA(F601=2;JUMLAH(PANGKAT(Normalisasi!$J$7-Konvergensi!$B$651;2);PANGKAT(Normalisasi!$K$7-Konvergensi!$C$651;2);PANGKAT(Normalisasi!$L$7-Konvergensi!$D$651;2);PANGKAT(Normalisasi!$M$7-Konvergensi!$E$651;2);PANGKAT(Normalisasi!$N$7-Konvergensi!$F$651;2);PANGKAT(Normalisasi!$O$7-Konvergensi!$G$651;2);PANGKAT(Normalisasi!$P$7-Konvergensi!$H$651;2));0))</f>
        <v/>
      </c>
      <c r="H601" t="n">
        <v>2</v>
      </c>
      <c r="I601" t="n">
        <v>5.863361028993086</v>
      </c>
    </row>
    <row r="602">
      <c r="A602">
        <f>Data_Awal!A8</f>
        <v/>
      </c>
      <c r="B602">
        <f>Data_Awal!B8</f>
        <v/>
      </c>
      <c r="C602">
        <f>AKAR(JUMLAH(PANGKAT(Normalisasi!$J$8-Konvergensi!$B$584;2);PANGKAT(Normalisasi!$K$8-Konvergensi!$C$584;2);PANGKAT(Normalisasi!$L$8-Konvergensi!$D$584;2);PANGKAT(Normalisasi!$M$8-Konvergensi!$E$584;2);PANGKAT(Normalisasi!$N$8-Konvergensi!$F$584;2);PANGKAT(Normalisasi!$O$8-Konvergensi!$G$584;2);PANGKAT(Normalisasi!$P$8-Konvergensi!$H$584;2)))</f>
        <v/>
      </c>
      <c r="D602">
        <f>AKAR(JUMLAH(PANGKAT(Normalisasi!$J$8-Konvergensi!$B$585;2);PANGKAT(Normalisasi!$K$8-Konvergensi!$C$585;2);PANGKAT(Normalisasi!$L$8-Konvergensi!$D$585;2);PANGKAT(Normalisasi!$M$8-Konvergensi!$E$585;2);PANGKAT(Normalisasi!$N$8-Konvergensi!$F$585;2);PANGKAT(Normalisasi!$O$8-Konvergensi!$G$585;2);PANGKAT(Normalisasi!$P$8-Konvergensi!$H$585;2)))</f>
        <v/>
      </c>
      <c r="E602">
        <f>AKAR(JUMLAH(PANGKAT(Normalisasi!$J$8-Konvergensi!$B$586;2);PANGKAT(Normalisasi!$K$8-Konvergensi!$C$586;2);PANGKAT(Normalisasi!$L$8-Konvergensi!$D$586;2);PANGKAT(Normalisasi!$M$8-Konvergensi!$E$586;2);PANGKAT(Normalisasi!$N$8-Konvergensi!$F$586;2);PANGKAT(Normalisasi!$O$8-Konvergensi!$G$586;2);PANGKAT(Normalisasi!$P$8-Konvergensi!$H$586;2)))</f>
        <v/>
      </c>
      <c r="F602">
        <f>JIKA(C602&lt;=D602;=JIKA(C602&lt;=E602;0;2);=JIKA(D602&lt;=E602;1;2))</f>
        <v/>
      </c>
      <c r="G602">
        <f>JUMLAH(JIKA(F602=0;JUMLAH(PANGKAT(Normalisasi!$J$8-Konvergensi!$B$649;2);PANGKAT(Normalisasi!$K$8-Konvergensi!$C$649;2);PANGKAT(Normalisasi!$L$8-Konvergensi!$D$649;2);PANGKAT(Normalisasi!$M$8-Konvergensi!$E$649;2);PANGKAT(Normalisasi!$N$8-Konvergensi!$F$649;2);PANGKAT(Normalisasi!$O$8-Konvergensi!$G$649;2);PANGKAT(Normalisasi!$P$8-Konvergensi!$H$649;2));0);JIKA(F602=1;JUMLAH(PANGKAT(Normalisasi!$J$8-Konvergensi!$B$650;2);PANGKAT(Normalisasi!$K$8-Konvergensi!$C$650;2);PANGKAT(Normalisasi!$L$8-Konvergensi!$D$650;2);PANGKAT(Normalisasi!$M$8-Konvergensi!$E$650;2);PANGKAT(Normalisasi!$N$8-Konvergensi!$F$650;2);PANGKAT(Normalisasi!$O$8-Konvergensi!$G$650;2);PANGKAT(Normalisasi!$P$8-Konvergensi!$H$650;2));0);JIKA(F602=2;JUMLAH(PANGKAT(Normalisasi!$J$8-Konvergensi!$B$651;2);PANGKAT(Normalisasi!$K$8-Konvergensi!$C$651;2);PANGKAT(Normalisasi!$L$8-Konvergensi!$D$651;2);PANGKAT(Normalisasi!$M$8-Konvergensi!$E$651;2);PANGKAT(Normalisasi!$N$8-Konvergensi!$F$651;2);PANGKAT(Normalisasi!$O$8-Konvergensi!$G$651;2);PANGKAT(Normalisasi!$P$8-Konvergensi!$H$651;2));0))</f>
        <v/>
      </c>
      <c r="H602" t="n">
        <v>0</v>
      </c>
      <c r="I602" t="n">
        <v>7.700230244846358</v>
      </c>
    </row>
    <row r="603">
      <c r="A603">
        <f>Data_Awal!A9</f>
        <v/>
      </c>
      <c r="B603">
        <f>Data_Awal!B9</f>
        <v/>
      </c>
      <c r="C603">
        <f>AKAR(JUMLAH(PANGKAT(Normalisasi!$J$9-Konvergensi!$B$584;2);PANGKAT(Normalisasi!$K$9-Konvergensi!$C$584;2);PANGKAT(Normalisasi!$L$9-Konvergensi!$D$584;2);PANGKAT(Normalisasi!$M$9-Konvergensi!$E$584;2);PANGKAT(Normalisasi!$N$9-Konvergensi!$F$584;2);PANGKAT(Normalisasi!$O$9-Konvergensi!$G$584;2);PANGKAT(Normalisasi!$P$9-Konvergensi!$H$584;2)))</f>
        <v/>
      </c>
      <c r="D603">
        <f>AKAR(JUMLAH(PANGKAT(Normalisasi!$J$9-Konvergensi!$B$585;2);PANGKAT(Normalisasi!$K$9-Konvergensi!$C$585;2);PANGKAT(Normalisasi!$L$9-Konvergensi!$D$585;2);PANGKAT(Normalisasi!$M$9-Konvergensi!$E$585;2);PANGKAT(Normalisasi!$N$9-Konvergensi!$F$585;2);PANGKAT(Normalisasi!$O$9-Konvergensi!$G$585;2);PANGKAT(Normalisasi!$P$9-Konvergensi!$H$585;2)))</f>
        <v/>
      </c>
      <c r="E603">
        <f>AKAR(JUMLAH(PANGKAT(Normalisasi!$J$9-Konvergensi!$B$586;2);PANGKAT(Normalisasi!$K$9-Konvergensi!$C$586;2);PANGKAT(Normalisasi!$L$9-Konvergensi!$D$586;2);PANGKAT(Normalisasi!$M$9-Konvergensi!$E$586;2);PANGKAT(Normalisasi!$N$9-Konvergensi!$F$586;2);PANGKAT(Normalisasi!$O$9-Konvergensi!$G$586;2);PANGKAT(Normalisasi!$P$9-Konvergensi!$H$586;2)))</f>
        <v/>
      </c>
      <c r="F603">
        <f>JIKA(C603&lt;=D603;=JIKA(C603&lt;=E603;0;2);=JIKA(D603&lt;=E603;1;2))</f>
        <v/>
      </c>
      <c r="G603">
        <f>JUMLAH(JIKA(F603=0;JUMLAH(PANGKAT(Normalisasi!$J$9-Konvergensi!$B$649;2);PANGKAT(Normalisasi!$K$9-Konvergensi!$C$649;2);PANGKAT(Normalisasi!$L$9-Konvergensi!$D$649;2);PANGKAT(Normalisasi!$M$9-Konvergensi!$E$649;2);PANGKAT(Normalisasi!$N$9-Konvergensi!$F$649;2);PANGKAT(Normalisasi!$O$9-Konvergensi!$G$649;2);PANGKAT(Normalisasi!$P$9-Konvergensi!$H$649;2));0);JIKA(F603=1;JUMLAH(PANGKAT(Normalisasi!$J$9-Konvergensi!$B$650;2);PANGKAT(Normalisasi!$K$9-Konvergensi!$C$650;2);PANGKAT(Normalisasi!$L$9-Konvergensi!$D$650;2);PANGKAT(Normalisasi!$M$9-Konvergensi!$E$650;2);PANGKAT(Normalisasi!$N$9-Konvergensi!$F$650;2);PANGKAT(Normalisasi!$O$9-Konvergensi!$G$650;2);PANGKAT(Normalisasi!$P$9-Konvergensi!$H$650;2));0);JIKA(F603=2;JUMLAH(PANGKAT(Normalisasi!$J$9-Konvergensi!$B$651;2);PANGKAT(Normalisasi!$K$9-Konvergensi!$C$651;2);PANGKAT(Normalisasi!$L$9-Konvergensi!$D$651;2);PANGKAT(Normalisasi!$M$9-Konvergensi!$E$651;2);PANGKAT(Normalisasi!$N$9-Konvergensi!$F$651;2);PANGKAT(Normalisasi!$O$9-Konvergensi!$G$651;2);PANGKAT(Normalisasi!$P$9-Konvergensi!$H$651;2));0))</f>
        <v/>
      </c>
      <c r="H603" t="n">
        <v>1</v>
      </c>
      <c r="I603" t="n">
        <v>6.846697401376302</v>
      </c>
    </row>
    <row r="604">
      <c r="A604">
        <f>Data_Awal!A10</f>
        <v/>
      </c>
      <c r="B604">
        <f>Data_Awal!B10</f>
        <v/>
      </c>
      <c r="C604">
        <f>AKAR(JUMLAH(PANGKAT(Normalisasi!$J$10-Konvergensi!$B$584;2);PANGKAT(Normalisasi!$K$10-Konvergensi!$C$584;2);PANGKAT(Normalisasi!$L$10-Konvergensi!$D$584;2);PANGKAT(Normalisasi!$M$10-Konvergensi!$E$584;2);PANGKAT(Normalisasi!$N$10-Konvergensi!$F$584;2);PANGKAT(Normalisasi!$O$10-Konvergensi!$G$584;2);PANGKAT(Normalisasi!$P$10-Konvergensi!$H$584;2)))</f>
        <v/>
      </c>
      <c r="D604">
        <f>AKAR(JUMLAH(PANGKAT(Normalisasi!$J$10-Konvergensi!$B$585;2);PANGKAT(Normalisasi!$K$10-Konvergensi!$C$585;2);PANGKAT(Normalisasi!$L$10-Konvergensi!$D$585;2);PANGKAT(Normalisasi!$M$10-Konvergensi!$E$585;2);PANGKAT(Normalisasi!$N$10-Konvergensi!$F$585;2);PANGKAT(Normalisasi!$O$10-Konvergensi!$G$585;2);PANGKAT(Normalisasi!$P$10-Konvergensi!$H$585;2)))</f>
        <v/>
      </c>
      <c r="E604">
        <f>AKAR(JUMLAH(PANGKAT(Normalisasi!$J$10-Konvergensi!$B$586;2);PANGKAT(Normalisasi!$K$10-Konvergensi!$C$586;2);PANGKAT(Normalisasi!$L$10-Konvergensi!$D$586;2);PANGKAT(Normalisasi!$M$10-Konvergensi!$E$586;2);PANGKAT(Normalisasi!$N$10-Konvergensi!$F$586;2);PANGKAT(Normalisasi!$O$10-Konvergensi!$G$586;2);PANGKAT(Normalisasi!$P$10-Konvergensi!$H$586;2)))</f>
        <v/>
      </c>
      <c r="F604">
        <f>JIKA(C604&lt;=D604;=JIKA(C604&lt;=E604;0;2);=JIKA(D604&lt;=E604;1;2))</f>
        <v/>
      </c>
      <c r="G604">
        <f>JUMLAH(JIKA(F604=0;JUMLAH(PANGKAT(Normalisasi!$J$10-Konvergensi!$B$649;2);PANGKAT(Normalisasi!$K$10-Konvergensi!$C$649;2);PANGKAT(Normalisasi!$L$10-Konvergensi!$D$649;2);PANGKAT(Normalisasi!$M$10-Konvergensi!$E$649;2);PANGKAT(Normalisasi!$N$10-Konvergensi!$F$649;2);PANGKAT(Normalisasi!$O$10-Konvergensi!$G$649;2);PANGKAT(Normalisasi!$P$10-Konvergensi!$H$649;2));0);JIKA(F604=1;JUMLAH(PANGKAT(Normalisasi!$J$10-Konvergensi!$B$650;2);PANGKAT(Normalisasi!$K$10-Konvergensi!$C$650;2);PANGKAT(Normalisasi!$L$10-Konvergensi!$D$650;2);PANGKAT(Normalisasi!$M$10-Konvergensi!$E$650;2);PANGKAT(Normalisasi!$N$10-Konvergensi!$F$650;2);PANGKAT(Normalisasi!$O$10-Konvergensi!$G$650;2);PANGKAT(Normalisasi!$P$10-Konvergensi!$H$650;2));0);JIKA(F604=2;JUMLAH(PANGKAT(Normalisasi!$J$10-Konvergensi!$B$651;2);PANGKAT(Normalisasi!$K$10-Konvergensi!$C$651;2);PANGKAT(Normalisasi!$L$10-Konvergensi!$D$651;2);PANGKAT(Normalisasi!$M$10-Konvergensi!$E$651;2);PANGKAT(Normalisasi!$N$10-Konvergensi!$F$651;2);PANGKAT(Normalisasi!$O$10-Konvergensi!$G$651;2);PANGKAT(Normalisasi!$P$10-Konvergensi!$H$651;2));0))</f>
        <v/>
      </c>
      <c r="H604" t="n">
        <v>0</v>
      </c>
      <c r="I604" t="n">
        <v>3.649401167220612</v>
      </c>
    </row>
    <row r="605">
      <c r="A605">
        <f>Data_Awal!A11</f>
        <v/>
      </c>
      <c r="B605">
        <f>Data_Awal!B11</f>
        <v/>
      </c>
      <c r="C605">
        <f>AKAR(JUMLAH(PANGKAT(Normalisasi!$J$11-Konvergensi!$B$584;2);PANGKAT(Normalisasi!$K$11-Konvergensi!$C$584;2);PANGKAT(Normalisasi!$L$11-Konvergensi!$D$584;2);PANGKAT(Normalisasi!$M$11-Konvergensi!$E$584;2);PANGKAT(Normalisasi!$N$11-Konvergensi!$F$584;2);PANGKAT(Normalisasi!$O$11-Konvergensi!$G$584;2);PANGKAT(Normalisasi!$P$11-Konvergensi!$H$584;2)))</f>
        <v/>
      </c>
      <c r="D605">
        <f>AKAR(JUMLAH(PANGKAT(Normalisasi!$J$11-Konvergensi!$B$585;2);PANGKAT(Normalisasi!$K$11-Konvergensi!$C$585;2);PANGKAT(Normalisasi!$L$11-Konvergensi!$D$585;2);PANGKAT(Normalisasi!$M$11-Konvergensi!$E$585;2);PANGKAT(Normalisasi!$N$11-Konvergensi!$F$585;2);PANGKAT(Normalisasi!$O$11-Konvergensi!$G$585;2);PANGKAT(Normalisasi!$P$11-Konvergensi!$H$585;2)))</f>
        <v/>
      </c>
      <c r="E605">
        <f>AKAR(JUMLAH(PANGKAT(Normalisasi!$J$11-Konvergensi!$B$586;2);PANGKAT(Normalisasi!$K$11-Konvergensi!$C$586;2);PANGKAT(Normalisasi!$L$11-Konvergensi!$D$586;2);PANGKAT(Normalisasi!$M$11-Konvergensi!$E$586;2);PANGKAT(Normalisasi!$N$11-Konvergensi!$F$586;2);PANGKAT(Normalisasi!$O$11-Konvergensi!$G$586;2);PANGKAT(Normalisasi!$P$11-Konvergensi!$H$586;2)))</f>
        <v/>
      </c>
      <c r="F605">
        <f>JIKA(C605&lt;=D605;=JIKA(C605&lt;=E605;0;2);=JIKA(D605&lt;=E605;1;2))</f>
        <v/>
      </c>
      <c r="G605">
        <f>JUMLAH(JIKA(F605=0;JUMLAH(PANGKAT(Normalisasi!$J$11-Konvergensi!$B$649;2);PANGKAT(Normalisasi!$K$11-Konvergensi!$C$649;2);PANGKAT(Normalisasi!$L$11-Konvergensi!$D$649;2);PANGKAT(Normalisasi!$M$11-Konvergensi!$E$649;2);PANGKAT(Normalisasi!$N$11-Konvergensi!$F$649;2);PANGKAT(Normalisasi!$O$11-Konvergensi!$G$649;2);PANGKAT(Normalisasi!$P$11-Konvergensi!$H$649;2));0);JIKA(F605=1;JUMLAH(PANGKAT(Normalisasi!$J$11-Konvergensi!$B$650;2);PANGKAT(Normalisasi!$K$11-Konvergensi!$C$650;2);PANGKAT(Normalisasi!$L$11-Konvergensi!$D$650;2);PANGKAT(Normalisasi!$M$11-Konvergensi!$E$650;2);PANGKAT(Normalisasi!$N$11-Konvergensi!$F$650;2);PANGKAT(Normalisasi!$O$11-Konvergensi!$G$650;2);PANGKAT(Normalisasi!$P$11-Konvergensi!$H$650;2));0);JIKA(F605=2;JUMLAH(PANGKAT(Normalisasi!$J$11-Konvergensi!$B$651;2);PANGKAT(Normalisasi!$K$11-Konvergensi!$C$651;2);PANGKAT(Normalisasi!$L$11-Konvergensi!$D$651;2);PANGKAT(Normalisasi!$M$11-Konvergensi!$E$651;2);PANGKAT(Normalisasi!$N$11-Konvergensi!$F$651;2);PANGKAT(Normalisasi!$O$11-Konvergensi!$G$651;2);PANGKAT(Normalisasi!$P$11-Konvergensi!$H$651;2));0))</f>
        <v/>
      </c>
      <c r="H605" t="n">
        <v>1</v>
      </c>
      <c r="I605" t="n">
        <v>1.618477953833825</v>
      </c>
    </row>
    <row r="606">
      <c r="A606">
        <f>Data_Awal!A12</f>
        <v/>
      </c>
      <c r="B606">
        <f>Data_Awal!B12</f>
        <v/>
      </c>
      <c r="C606">
        <f>AKAR(JUMLAH(PANGKAT(Normalisasi!$J$12-Konvergensi!$B$584;2);PANGKAT(Normalisasi!$K$12-Konvergensi!$C$584;2);PANGKAT(Normalisasi!$L$12-Konvergensi!$D$584;2);PANGKAT(Normalisasi!$M$12-Konvergensi!$E$584;2);PANGKAT(Normalisasi!$N$12-Konvergensi!$F$584;2);PANGKAT(Normalisasi!$O$12-Konvergensi!$G$584;2);PANGKAT(Normalisasi!$P$12-Konvergensi!$H$584;2)))</f>
        <v/>
      </c>
      <c r="D606">
        <f>AKAR(JUMLAH(PANGKAT(Normalisasi!$J$12-Konvergensi!$B$585;2);PANGKAT(Normalisasi!$K$12-Konvergensi!$C$585;2);PANGKAT(Normalisasi!$L$12-Konvergensi!$D$585;2);PANGKAT(Normalisasi!$M$12-Konvergensi!$E$585;2);PANGKAT(Normalisasi!$N$12-Konvergensi!$F$585;2);PANGKAT(Normalisasi!$O$12-Konvergensi!$G$585;2);PANGKAT(Normalisasi!$P$12-Konvergensi!$H$585;2)))</f>
        <v/>
      </c>
      <c r="E606">
        <f>AKAR(JUMLAH(PANGKAT(Normalisasi!$J$12-Konvergensi!$B$586;2);PANGKAT(Normalisasi!$K$12-Konvergensi!$C$586;2);PANGKAT(Normalisasi!$L$12-Konvergensi!$D$586;2);PANGKAT(Normalisasi!$M$12-Konvergensi!$E$586;2);PANGKAT(Normalisasi!$N$12-Konvergensi!$F$586;2);PANGKAT(Normalisasi!$O$12-Konvergensi!$G$586;2);PANGKAT(Normalisasi!$P$12-Konvergensi!$H$586;2)))</f>
        <v/>
      </c>
      <c r="F606">
        <f>JIKA(C606&lt;=D606;=JIKA(C606&lt;=E606;0;2);=JIKA(D606&lt;=E606;1;2))</f>
        <v/>
      </c>
      <c r="G606">
        <f>JUMLAH(JIKA(F606=0;JUMLAH(PANGKAT(Normalisasi!$J$12-Konvergensi!$B$649;2);PANGKAT(Normalisasi!$K$12-Konvergensi!$C$649;2);PANGKAT(Normalisasi!$L$12-Konvergensi!$D$649;2);PANGKAT(Normalisasi!$M$12-Konvergensi!$E$649;2);PANGKAT(Normalisasi!$N$12-Konvergensi!$F$649;2);PANGKAT(Normalisasi!$O$12-Konvergensi!$G$649;2);PANGKAT(Normalisasi!$P$12-Konvergensi!$H$649;2));0);JIKA(F606=1;JUMLAH(PANGKAT(Normalisasi!$J$12-Konvergensi!$B$650;2);PANGKAT(Normalisasi!$K$12-Konvergensi!$C$650;2);PANGKAT(Normalisasi!$L$12-Konvergensi!$D$650;2);PANGKAT(Normalisasi!$M$12-Konvergensi!$E$650;2);PANGKAT(Normalisasi!$N$12-Konvergensi!$F$650;2);PANGKAT(Normalisasi!$O$12-Konvergensi!$G$650;2);PANGKAT(Normalisasi!$P$12-Konvergensi!$H$650;2));0);JIKA(F606=2;JUMLAH(PANGKAT(Normalisasi!$J$12-Konvergensi!$B$651;2);PANGKAT(Normalisasi!$K$12-Konvergensi!$C$651;2);PANGKAT(Normalisasi!$L$12-Konvergensi!$D$651;2);PANGKAT(Normalisasi!$M$12-Konvergensi!$E$651;2);PANGKAT(Normalisasi!$N$12-Konvergensi!$F$651;2);PANGKAT(Normalisasi!$O$12-Konvergensi!$G$651;2);PANGKAT(Normalisasi!$P$12-Konvergensi!$H$651;2));0))</f>
        <v/>
      </c>
      <c r="H606" t="n">
        <v>1</v>
      </c>
      <c r="I606" t="n">
        <v>7.96011614729661</v>
      </c>
    </row>
    <row r="607">
      <c r="A607">
        <f>Data_Awal!A13</f>
        <v/>
      </c>
      <c r="B607">
        <f>Data_Awal!B13</f>
        <v/>
      </c>
      <c r="C607">
        <f>AKAR(JUMLAH(PANGKAT(Normalisasi!$J$13-Konvergensi!$B$584;2);PANGKAT(Normalisasi!$K$13-Konvergensi!$C$584;2);PANGKAT(Normalisasi!$L$13-Konvergensi!$D$584;2);PANGKAT(Normalisasi!$M$13-Konvergensi!$E$584;2);PANGKAT(Normalisasi!$N$13-Konvergensi!$F$584;2);PANGKAT(Normalisasi!$O$13-Konvergensi!$G$584;2);PANGKAT(Normalisasi!$P$13-Konvergensi!$H$584;2)))</f>
        <v/>
      </c>
      <c r="D607">
        <f>AKAR(JUMLAH(PANGKAT(Normalisasi!$J$13-Konvergensi!$B$585;2);PANGKAT(Normalisasi!$K$13-Konvergensi!$C$585;2);PANGKAT(Normalisasi!$L$13-Konvergensi!$D$585;2);PANGKAT(Normalisasi!$M$13-Konvergensi!$E$585;2);PANGKAT(Normalisasi!$N$13-Konvergensi!$F$585;2);PANGKAT(Normalisasi!$O$13-Konvergensi!$G$585;2);PANGKAT(Normalisasi!$P$13-Konvergensi!$H$585;2)))</f>
        <v/>
      </c>
      <c r="E607">
        <f>AKAR(JUMLAH(PANGKAT(Normalisasi!$J$13-Konvergensi!$B$586;2);PANGKAT(Normalisasi!$K$13-Konvergensi!$C$586;2);PANGKAT(Normalisasi!$L$13-Konvergensi!$D$586;2);PANGKAT(Normalisasi!$M$13-Konvergensi!$E$586;2);PANGKAT(Normalisasi!$N$13-Konvergensi!$F$586;2);PANGKAT(Normalisasi!$O$13-Konvergensi!$G$586;2);PANGKAT(Normalisasi!$P$13-Konvergensi!$H$586;2)))</f>
        <v/>
      </c>
      <c r="F607">
        <f>JIKA(C607&lt;=D607;=JIKA(C607&lt;=E607;0;2);=JIKA(D607&lt;=E607;1;2))</f>
        <v/>
      </c>
      <c r="G607">
        <f>JUMLAH(JIKA(F607=0;JUMLAH(PANGKAT(Normalisasi!$J$13-Konvergensi!$B$649;2);PANGKAT(Normalisasi!$K$13-Konvergensi!$C$649;2);PANGKAT(Normalisasi!$L$13-Konvergensi!$D$649;2);PANGKAT(Normalisasi!$M$13-Konvergensi!$E$649;2);PANGKAT(Normalisasi!$N$13-Konvergensi!$F$649;2);PANGKAT(Normalisasi!$O$13-Konvergensi!$G$649;2);PANGKAT(Normalisasi!$P$13-Konvergensi!$H$649;2));0);JIKA(F607=1;JUMLAH(PANGKAT(Normalisasi!$J$13-Konvergensi!$B$650;2);PANGKAT(Normalisasi!$K$13-Konvergensi!$C$650;2);PANGKAT(Normalisasi!$L$13-Konvergensi!$D$650;2);PANGKAT(Normalisasi!$M$13-Konvergensi!$E$650;2);PANGKAT(Normalisasi!$N$13-Konvergensi!$F$650;2);PANGKAT(Normalisasi!$O$13-Konvergensi!$G$650;2);PANGKAT(Normalisasi!$P$13-Konvergensi!$H$650;2));0);JIKA(F607=2;JUMLAH(PANGKAT(Normalisasi!$J$13-Konvergensi!$B$651;2);PANGKAT(Normalisasi!$K$13-Konvergensi!$C$651;2);PANGKAT(Normalisasi!$L$13-Konvergensi!$D$651;2);PANGKAT(Normalisasi!$M$13-Konvergensi!$E$651;2);PANGKAT(Normalisasi!$N$13-Konvergensi!$F$651;2);PANGKAT(Normalisasi!$O$13-Konvergensi!$G$651;2);PANGKAT(Normalisasi!$P$13-Konvergensi!$H$651;2));0))</f>
        <v/>
      </c>
      <c r="H607" t="n">
        <v>1</v>
      </c>
      <c r="I607" t="n">
        <v>7.020823881391489</v>
      </c>
    </row>
    <row r="608">
      <c r="A608">
        <f>Data_Awal!A14</f>
        <v/>
      </c>
      <c r="B608">
        <f>Data_Awal!B14</f>
        <v/>
      </c>
      <c r="C608">
        <f>AKAR(JUMLAH(PANGKAT(Normalisasi!$J$14-Konvergensi!$B$584;2);PANGKAT(Normalisasi!$K$14-Konvergensi!$C$584;2);PANGKAT(Normalisasi!$L$14-Konvergensi!$D$584;2);PANGKAT(Normalisasi!$M$14-Konvergensi!$E$584;2);PANGKAT(Normalisasi!$N$14-Konvergensi!$F$584;2);PANGKAT(Normalisasi!$O$14-Konvergensi!$G$584;2);PANGKAT(Normalisasi!$P$14-Konvergensi!$H$584;2)))</f>
        <v/>
      </c>
      <c r="D608">
        <f>AKAR(JUMLAH(PANGKAT(Normalisasi!$J$14-Konvergensi!$B$585;2);PANGKAT(Normalisasi!$K$14-Konvergensi!$C$585;2);PANGKAT(Normalisasi!$L$14-Konvergensi!$D$585;2);PANGKAT(Normalisasi!$M$14-Konvergensi!$E$585;2);PANGKAT(Normalisasi!$N$14-Konvergensi!$F$585;2);PANGKAT(Normalisasi!$O$14-Konvergensi!$G$585;2);PANGKAT(Normalisasi!$P$14-Konvergensi!$H$585;2)))</f>
        <v/>
      </c>
      <c r="E608">
        <f>AKAR(JUMLAH(PANGKAT(Normalisasi!$J$14-Konvergensi!$B$586;2);PANGKAT(Normalisasi!$K$14-Konvergensi!$C$586;2);PANGKAT(Normalisasi!$L$14-Konvergensi!$D$586;2);PANGKAT(Normalisasi!$M$14-Konvergensi!$E$586;2);PANGKAT(Normalisasi!$N$14-Konvergensi!$F$586;2);PANGKAT(Normalisasi!$O$14-Konvergensi!$G$586;2);PANGKAT(Normalisasi!$P$14-Konvergensi!$H$586;2)))</f>
        <v/>
      </c>
      <c r="F608">
        <f>JIKA(C608&lt;=D608;=JIKA(C608&lt;=E608;0;2);=JIKA(D608&lt;=E608;1;2))</f>
        <v/>
      </c>
      <c r="G608">
        <f>JUMLAH(JIKA(F608=0;JUMLAH(PANGKAT(Normalisasi!$J$14-Konvergensi!$B$649;2);PANGKAT(Normalisasi!$K$14-Konvergensi!$C$649;2);PANGKAT(Normalisasi!$L$14-Konvergensi!$D$649;2);PANGKAT(Normalisasi!$M$14-Konvergensi!$E$649;2);PANGKAT(Normalisasi!$N$14-Konvergensi!$F$649;2);PANGKAT(Normalisasi!$O$14-Konvergensi!$G$649;2);PANGKAT(Normalisasi!$P$14-Konvergensi!$H$649;2));0);JIKA(F608=1;JUMLAH(PANGKAT(Normalisasi!$J$14-Konvergensi!$B$650;2);PANGKAT(Normalisasi!$K$14-Konvergensi!$C$650;2);PANGKAT(Normalisasi!$L$14-Konvergensi!$D$650;2);PANGKAT(Normalisasi!$M$14-Konvergensi!$E$650;2);PANGKAT(Normalisasi!$N$14-Konvergensi!$F$650;2);PANGKAT(Normalisasi!$O$14-Konvergensi!$G$650;2);PANGKAT(Normalisasi!$P$14-Konvergensi!$H$650;2));0);JIKA(F608=2;JUMLAH(PANGKAT(Normalisasi!$J$14-Konvergensi!$B$651;2);PANGKAT(Normalisasi!$K$14-Konvergensi!$C$651;2);PANGKAT(Normalisasi!$L$14-Konvergensi!$D$651;2);PANGKAT(Normalisasi!$M$14-Konvergensi!$E$651;2);PANGKAT(Normalisasi!$N$14-Konvergensi!$F$651;2);PANGKAT(Normalisasi!$O$14-Konvergensi!$G$651;2);PANGKAT(Normalisasi!$P$14-Konvergensi!$H$651;2));0))</f>
        <v/>
      </c>
      <c r="H608" t="n">
        <v>2</v>
      </c>
      <c r="I608" t="n">
        <v>4.687753656282752</v>
      </c>
    </row>
    <row r="609">
      <c r="A609">
        <f>Data_Awal!A15</f>
        <v/>
      </c>
      <c r="B609">
        <f>Data_Awal!B15</f>
        <v/>
      </c>
      <c r="C609">
        <f>AKAR(JUMLAH(PANGKAT(Normalisasi!$J$15-Konvergensi!$B$584;2);PANGKAT(Normalisasi!$K$15-Konvergensi!$C$584;2);PANGKAT(Normalisasi!$L$15-Konvergensi!$D$584;2);PANGKAT(Normalisasi!$M$15-Konvergensi!$E$584;2);PANGKAT(Normalisasi!$N$15-Konvergensi!$F$584;2);PANGKAT(Normalisasi!$O$15-Konvergensi!$G$584;2);PANGKAT(Normalisasi!$P$15-Konvergensi!$H$584;2)))</f>
        <v/>
      </c>
      <c r="D609">
        <f>AKAR(JUMLAH(PANGKAT(Normalisasi!$J$15-Konvergensi!$B$585;2);PANGKAT(Normalisasi!$K$15-Konvergensi!$C$585;2);PANGKAT(Normalisasi!$L$15-Konvergensi!$D$585;2);PANGKAT(Normalisasi!$M$15-Konvergensi!$E$585;2);PANGKAT(Normalisasi!$N$15-Konvergensi!$F$585;2);PANGKAT(Normalisasi!$O$15-Konvergensi!$G$585;2);PANGKAT(Normalisasi!$P$15-Konvergensi!$H$585;2)))</f>
        <v/>
      </c>
      <c r="E609">
        <f>AKAR(JUMLAH(PANGKAT(Normalisasi!$J$15-Konvergensi!$B$586;2);PANGKAT(Normalisasi!$K$15-Konvergensi!$C$586;2);PANGKAT(Normalisasi!$L$15-Konvergensi!$D$586;2);PANGKAT(Normalisasi!$M$15-Konvergensi!$E$586;2);PANGKAT(Normalisasi!$N$15-Konvergensi!$F$586;2);PANGKAT(Normalisasi!$O$15-Konvergensi!$G$586;2);PANGKAT(Normalisasi!$P$15-Konvergensi!$H$586;2)))</f>
        <v/>
      </c>
      <c r="F609">
        <f>JIKA(C609&lt;=D609;=JIKA(C609&lt;=E609;0;2);=JIKA(D609&lt;=E609;1;2))</f>
        <v/>
      </c>
      <c r="G609">
        <f>JUMLAH(JIKA(F609=0;JUMLAH(PANGKAT(Normalisasi!$J$15-Konvergensi!$B$649;2);PANGKAT(Normalisasi!$K$15-Konvergensi!$C$649;2);PANGKAT(Normalisasi!$L$15-Konvergensi!$D$649;2);PANGKAT(Normalisasi!$M$15-Konvergensi!$E$649;2);PANGKAT(Normalisasi!$N$15-Konvergensi!$F$649;2);PANGKAT(Normalisasi!$O$15-Konvergensi!$G$649;2);PANGKAT(Normalisasi!$P$15-Konvergensi!$H$649;2));0);JIKA(F609=1;JUMLAH(PANGKAT(Normalisasi!$J$15-Konvergensi!$B$650;2);PANGKAT(Normalisasi!$K$15-Konvergensi!$C$650;2);PANGKAT(Normalisasi!$L$15-Konvergensi!$D$650;2);PANGKAT(Normalisasi!$M$15-Konvergensi!$E$650;2);PANGKAT(Normalisasi!$N$15-Konvergensi!$F$650;2);PANGKAT(Normalisasi!$O$15-Konvergensi!$G$650;2);PANGKAT(Normalisasi!$P$15-Konvergensi!$H$650;2));0);JIKA(F609=2;JUMLAH(PANGKAT(Normalisasi!$J$15-Konvergensi!$B$651;2);PANGKAT(Normalisasi!$K$15-Konvergensi!$C$651;2);PANGKAT(Normalisasi!$L$15-Konvergensi!$D$651;2);PANGKAT(Normalisasi!$M$15-Konvergensi!$E$651;2);PANGKAT(Normalisasi!$N$15-Konvergensi!$F$651;2);PANGKAT(Normalisasi!$O$15-Konvergensi!$G$651;2);PANGKAT(Normalisasi!$P$15-Konvergensi!$H$651;2));0))</f>
        <v/>
      </c>
      <c r="H609" t="n">
        <v>0</v>
      </c>
      <c r="I609" t="n">
        <v>2.925832430309646</v>
      </c>
    </row>
    <row r="610">
      <c r="A610">
        <f>Data_Awal!A16</f>
        <v/>
      </c>
      <c r="B610">
        <f>Data_Awal!B16</f>
        <v/>
      </c>
      <c r="C610">
        <f>AKAR(JUMLAH(PANGKAT(Normalisasi!$J$16-Konvergensi!$B$584;2);PANGKAT(Normalisasi!$K$16-Konvergensi!$C$584;2);PANGKAT(Normalisasi!$L$16-Konvergensi!$D$584;2);PANGKAT(Normalisasi!$M$16-Konvergensi!$E$584;2);PANGKAT(Normalisasi!$N$16-Konvergensi!$F$584;2);PANGKAT(Normalisasi!$O$16-Konvergensi!$G$584;2);PANGKAT(Normalisasi!$P$16-Konvergensi!$H$584;2)))</f>
        <v/>
      </c>
      <c r="D610">
        <f>AKAR(JUMLAH(PANGKAT(Normalisasi!$J$16-Konvergensi!$B$585;2);PANGKAT(Normalisasi!$K$16-Konvergensi!$C$585;2);PANGKAT(Normalisasi!$L$16-Konvergensi!$D$585;2);PANGKAT(Normalisasi!$M$16-Konvergensi!$E$585;2);PANGKAT(Normalisasi!$N$16-Konvergensi!$F$585;2);PANGKAT(Normalisasi!$O$16-Konvergensi!$G$585;2);PANGKAT(Normalisasi!$P$16-Konvergensi!$H$585;2)))</f>
        <v/>
      </c>
      <c r="E610">
        <f>AKAR(JUMLAH(PANGKAT(Normalisasi!$J$16-Konvergensi!$B$586;2);PANGKAT(Normalisasi!$K$16-Konvergensi!$C$586;2);PANGKAT(Normalisasi!$L$16-Konvergensi!$D$586;2);PANGKAT(Normalisasi!$M$16-Konvergensi!$E$586;2);PANGKAT(Normalisasi!$N$16-Konvergensi!$F$586;2);PANGKAT(Normalisasi!$O$16-Konvergensi!$G$586;2);PANGKAT(Normalisasi!$P$16-Konvergensi!$H$586;2)))</f>
        <v/>
      </c>
      <c r="F610">
        <f>JIKA(C610&lt;=D610;=JIKA(C610&lt;=E610;0;2);=JIKA(D610&lt;=E610;1;2))</f>
        <v/>
      </c>
      <c r="G610">
        <f>JUMLAH(JIKA(F610=0;JUMLAH(PANGKAT(Normalisasi!$J$16-Konvergensi!$B$649;2);PANGKAT(Normalisasi!$K$16-Konvergensi!$C$649;2);PANGKAT(Normalisasi!$L$16-Konvergensi!$D$649;2);PANGKAT(Normalisasi!$M$16-Konvergensi!$E$649;2);PANGKAT(Normalisasi!$N$16-Konvergensi!$F$649;2);PANGKAT(Normalisasi!$O$16-Konvergensi!$G$649;2);PANGKAT(Normalisasi!$P$16-Konvergensi!$H$649;2));0);JIKA(F610=1;JUMLAH(PANGKAT(Normalisasi!$J$16-Konvergensi!$B$650;2);PANGKAT(Normalisasi!$K$16-Konvergensi!$C$650;2);PANGKAT(Normalisasi!$L$16-Konvergensi!$D$650;2);PANGKAT(Normalisasi!$M$16-Konvergensi!$E$650;2);PANGKAT(Normalisasi!$N$16-Konvergensi!$F$650;2);PANGKAT(Normalisasi!$O$16-Konvergensi!$G$650;2);PANGKAT(Normalisasi!$P$16-Konvergensi!$H$650;2));0);JIKA(F610=2;JUMLAH(PANGKAT(Normalisasi!$J$16-Konvergensi!$B$651;2);PANGKAT(Normalisasi!$K$16-Konvergensi!$C$651;2);PANGKAT(Normalisasi!$L$16-Konvergensi!$D$651;2);PANGKAT(Normalisasi!$M$16-Konvergensi!$E$651;2);PANGKAT(Normalisasi!$N$16-Konvergensi!$F$651;2);PANGKAT(Normalisasi!$O$16-Konvergensi!$G$651;2);PANGKAT(Normalisasi!$P$16-Konvergensi!$H$651;2));0))</f>
        <v/>
      </c>
      <c r="H610" t="n">
        <v>1</v>
      </c>
      <c r="I610" t="n">
        <v>7.769736498415128</v>
      </c>
    </row>
    <row r="611">
      <c r="A611">
        <f>Data_Awal!A17</f>
        <v/>
      </c>
      <c r="B611">
        <f>Data_Awal!B17</f>
        <v/>
      </c>
      <c r="C611">
        <f>AKAR(JUMLAH(PANGKAT(Normalisasi!$J$17-Konvergensi!$B$584;2);PANGKAT(Normalisasi!$K$17-Konvergensi!$C$584;2);PANGKAT(Normalisasi!$L$17-Konvergensi!$D$584;2);PANGKAT(Normalisasi!$M$17-Konvergensi!$E$584;2);PANGKAT(Normalisasi!$N$17-Konvergensi!$F$584;2);PANGKAT(Normalisasi!$O$17-Konvergensi!$G$584;2);PANGKAT(Normalisasi!$P$17-Konvergensi!$H$584;2)))</f>
        <v/>
      </c>
      <c r="D611">
        <f>AKAR(JUMLAH(PANGKAT(Normalisasi!$J$17-Konvergensi!$B$585;2);PANGKAT(Normalisasi!$K$17-Konvergensi!$C$585;2);PANGKAT(Normalisasi!$L$17-Konvergensi!$D$585;2);PANGKAT(Normalisasi!$M$17-Konvergensi!$E$585;2);PANGKAT(Normalisasi!$N$17-Konvergensi!$F$585;2);PANGKAT(Normalisasi!$O$17-Konvergensi!$G$585;2);PANGKAT(Normalisasi!$P$17-Konvergensi!$H$585;2)))</f>
        <v/>
      </c>
      <c r="E611">
        <f>AKAR(JUMLAH(PANGKAT(Normalisasi!$J$17-Konvergensi!$B$586;2);PANGKAT(Normalisasi!$K$17-Konvergensi!$C$586;2);PANGKAT(Normalisasi!$L$17-Konvergensi!$D$586;2);PANGKAT(Normalisasi!$M$17-Konvergensi!$E$586;2);PANGKAT(Normalisasi!$N$17-Konvergensi!$F$586;2);PANGKAT(Normalisasi!$O$17-Konvergensi!$G$586;2);PANGKAT(Normalisasi!$P$17-Konvergensi!$H$586;2)))</f>
        <v/>
      </c>
      <c r="F611">
        <f>JIKA(C611&lt;=D611;=JIKA(C611&lt;=E611;0;2);=JIKA(D611&lt;=E611;1;2))</f>
        <v/>
      </c>
      <c r="G611">
        <f>JUMLAH(JIKA(F611=0;JUMLAH(PANGKAT(Normalisasi!$J$17-Konvergensi!$B$649;2);PANGKAT(Normalisasi!$K$17-Konvergensi!$C$649;2);PANGKAT(Normalisasi!$L$17-Konvergensi!$D$649;2);PANGKAT(Normalisasi!$M$17-Konvergensi!$E$649;2);PANGKAT(Normalisasi!$N$17-Konvergensi!$F$649;2);PANGKAT(Normalisasi!$O$17-Konvergensi!$G$649;2);PANGKAT(Normalisasi!$P$17-Konvergensi!$H$649;2));0);JIKA(F611=1;JUMLAH(PANGKAT(Normalisasi!$J$17-Konvergensi!$B$650;2);PANGKAT(Normalisasi!$K$17-Konvergensi!$C$650;2);PANGKAT(Normalisasi!$L$17-Konvergensi!$D$650;2);PANGKAT(Normalisasi!$M$17-Konvergensi!$E$650;2);PANGKAT(Normalisasi!$N$17-Konvergensi!$F$650;2);PANGKAT(Normalisasi!$O$17-Konvergensi!$G$650;2);PANGKAT(Normalisasi!$P$17-Konvergensi!$H$650;2));0);JIKA(F611=2;JUMLAH(PANGKAT(Normalisasi!$J$17-Konvergensi!$B$651;2);PANGKAT(Normalisasi!$K$17-Konvergensi!$C$651;2);PANGKAT(Normalisasi!$L$17-Konvergensi!$D$651;2);PANGKAT(Normalisasi!$M$17-Konvergensi!$E$651;2);PANGKAT(Normalisasi!$N$17-Konvergensi!$F$651;2);PANGKAT(Normalisasi!$O$17-Konvergensi!$G$651;2);PANGKAT(Normalisasi!$P$17-Konvergensi!$H$651;2));0))</f>
        <v/>
      </c>
      <c r="H611" t="n">
        <v>1</v>
      </c>
      <c r="I611" t="n">
        <v>3.516929456132632</v>
      </c>
    </row>
    <row r="612">
      <c r="A612">
        <f>Data_Awal!A18</f>
        <v/>
      </c>
      <c r="B612">
        <f>Data_Awal!B18</f>
        <v/>
      </c>
      <c r="C612">
        <f>AKAR(JUMLAH(PANGKAT(Normalisasi!$J$18-Konvergensi!$B$584;2);PANGKAT(Normalisasi!$K$18-Konvergensi!$C$584;2);PANGKAT(Normalisasi!$L$18-Konvergensi!$D$584;2);PANGKAT(Normalisasi!$M$18-Konvergensi!$E$584;2);PANGKAT(Normalisasi!$N$18-Konvergensi!$F$584;2);PANGKAT(Normalisasi!$O$18-Konvergensi!$G$584;2);PANGKAT(Normalisasi!$P$18-Konvergensi!$H$584;2)))</f>
        <v/>
      </c>
      <c r="D612">
        <f>AKAR(JUMLAH(PANGKAT(Normalisasi!$J$18-Konvergensi!$B$585;2);PANGKAT(Normalisasi!$K$18-Konvergensi!$C$585;2);PANGKAT(Normalisasi!$L$18-Konvergensi!$D$585;2);PANGKAT(Normalisasi!$M$18-Konvergensi!$E$585;2);PANGKAT(Normalisasi!$N$18-Konvergensi!$F$585;2);PANGKAT(Normalisasi!$O$18-Konvergensi!$G$585;2);PANGKAT(Normalisasi!$P$18-Konvergensi!$H$585;2)))</f>
        <v/>
      </c>
      <c r="E612">
        <f>AKAR(JUMLAH(PANGKAT(Normalisasi!$J$18-Konvergensi!$B$586;2);PANGKAT(Normalisasi!$K$18-Konvergensi!$C$586;2);PANGKAT(Normalisasi!$L$18-Konvergensi!$D$586;2);PANGKAT(Normalisasi!$M$18-Konvergensi!$E$586;2);PANGKAT(Normalisasi!$N$18-Konvergensi!$F$586;2);PANGKAT(Normalisasi!$O$18-Konvergensi!$G$586;2);PANGKAT(Normalisasi!$P$18-Konvergensi!$H$586;2)))</f>
        <v/>
      </c>
      <c r="F612">
        <f>JIKA(C612&lt;=D612;=JIKA(C612&lt;=E612;0;2);=JIKA(D612&lt;=E612;1;2))</f>
        <v/>
      </c>
      <c r="G612">
        <f>JUMLAH(JIKA(F612=0;JUMLAH(PANGKAT(Normalisasi!$J$18-Konvergensi!$B$649;2);PANGKAT(Normalisasi!$K$18-Konvergensi!$C$649;2);PANGKAT(Normalisasi!$L$18-Konvergensi!$D$649;2);PANGKAT(Normalisasi!$M$18-Konvergensi!$E$649;2);PANGKAT(Normalisasi!$N$18-Konvergensi!$F$649;2);PANGKAT(Normalisasi!$O$18-Konvergensi!$G$649;2);PANGKAT(Normalisasi!$P$18-Konvergensi!$H$649;2));0);JIKA(F612=1;JUMLAH(PANGKAT(Normalisasi!$J$18-Konvergensi!$B$650;2);PANGKAT(Normalisasi!$K$18-Konvergensi!$C$650;2);PANGKAT(Normalisasi!$L$18-Konvergensi!$D$650;2);PANGKAT(Normalisasi!$M$18-Konvergensi!$E$650;2);PANGKAT(Normalisasi!$N$18-Konvergensi!$F$650;2);PANGKAT(Normalisasi!$O$18-Konvergensi!$G$650;2);PANGKAT(Normalisasi!$P$18-Konvergensi!$H$650;2));0);JIKA(F612=2;JUMLAH(PANGKAT(Normalisasi!$J$18-Konvergensi!$B$651;2);PANGKAT(Normalisasi!$K$18-Konvergensi!$C$651;2);PANGKAT(Normalisasi!$L$18-Konvergensi!$D$651;2);PANGKAT(Normalisasi!$M$18-Konvergensi!$E$651;2);PANGKAT(Normalisasi!$N$18-Konvergensi!$F$651;2);PANGKAT(Normalisasi!$O$18-Konvergensi!$G$651;2);PANGKAT(Normalisasi!$P$18-Konvergensi!$H$651;2));0))</f>
        <v/>
      </c>
      <c r="H612" t="n">
        <v>0</v>
      </c>
      <c r="I612" t="n">
        <v>6.242581838611056</v>
      </c>
    </row>
    <row r="613">
      <c r="A613">
        <f>Data_Awal!A19</f>
        <v/>
      </c>
      <c r="B613">
        <f>Data_Awal!B19</f>
        <v/>
      </c>
      <c r="C613">
        <f>AKAR(JUMLAH(PANGKAT(Normalisasi!$J$19-Konvergensi!$B$584;2);PANGKAT(Normalisasi!$K$19-Konvergensi!$C$584;2);PANGKAT(Normalisasi!$L$19-Konvergensi!$D$584;2);PANGKAT(Normalisasi!$M$19-Konvergensi!$E$584;2);PANGKAT(Normalisasi!$N$19-Konvergensi!$F$584;2);PANGKAT(Normalisasi!$O$19-Konvergensi!$G$584;2);PANGKAT(Normalisasi!$P$19-Konvergensi!$H$584;2)))</f>
        <v/>
      </c>
      <c r="D613">
        <f>AKAR(JUMLAH(PANGKAT(Normalisasi!$J$19-Konvergensi!$B$585;2);PANGKAT(Normalisasi!$K$19-Konvergensi!$C$585;2);PANGKAT(Normalisasi!$L$19-Konvergensi!$D$585;2);PANGKAT(Normalisasi!$M$19-Konvergensi!$E$585;2);PANGKAT(Normalisasi!$N$19-Konvergensi!$F$585;2);PANGKAT(Normalisasi!$O$19-Konvergensi!$G$585;2);PANGKAT(Normalisasi!$P$19-Konvergensi!$H$585;2)))</f>
        <v/>
      </c>
      <c r="E613">
        <f>AKAR(JUMLAH(PANGKAT(Normalisasi!$J$19-Konvergensi!$B$586;2);PANGKAT(Normalisasi!$K$19-Konvergensi!$C$586;2);PANGKAT(Normalisasi!$L$19-Konvergensi!$D$586;2);PANGKAT(Normalisasi!$M$19-Konvergensi!$E$586;2);PANGKAT(Normalisasi!$N$19-Konvergensi!$F$586;2);PANGKAT(Normalisasi!$O$19-Konvergensi!$G$586;2);PANGKAT(Normalisasi!$P$19-Konvergensi!$H$586;2)))</f>
        <v/>
      </c>
      <c r="F613">
        <f>JIKA(C613&lt;=D613;=JIKA(C613&lt;=E613;0;2);=JIKA(D613&lt;=E613;1;2))</f>
        <v/>
      </c>
      <c r="G613">
        <f>JUMLAH(JIKA(F613=0;JUMLAH(PANGKAT(Normalisasi!$J$19-Konvergensi!$B$649;2);PANGKAT(Normalisasi!$K$19-Konvergensi!$C$649;2);PANGKAT(Normalisasi!$L$19-Konvergensi!$D$649;2);PANGKAT(Normalisasi!$M$19-Konvergensi!$E$649;2);PANGKAT(Normalisasi!$N$19-Konvergensi!$F$649;2);PANGKAT(Normalisasi!$O$19-Konvergensi!$G$649;2);PANGKAT(Normalisasi!$P$19-Konvergensi!$H$649;2));0);JIKA(F613=1;JUMLAH(PANGKAT(Normalisasi!$J$19-Konvergensi!$B$650;2);PANGKAT(Normalisasi!$K$19-Konvergensi!$C$650;2);PANGKAT(Normalisasi!$L$19-Konvergensi!$D$650;2);PANGKAT(Normalisasi!$M$19-Konvergensi!$E$650;2);PANGKAT(Normalisasi!$N$19-Konvergensi!$F$650;2);PANGKAT(Normalisasi!$O$19-Konvergensi!$G$650;2);PANGKAT(Normalisasi!$P$19-Konvergensi!$H$650;2));0);JIKA(F613=2;JUMLAH(PANGKAT(Normalisasi!$J$19-Konvergensi!$B$651;2);PANGKAT(Normalisasi!$K$19-Konvergensi!$C$651;2);PANGKAT(Normalisasi!$L$19-Konvergensi!$D$651;2);PANGKAT(Normalisasi!$M$19-Konvergensi!$E$651;2);PANGKAT(Normalisasi!$N$19-Konvergensi!$F$651;2);PANGKAT(Normalisasi!$O$19-Konvergensi!$G$651;2);PANGKAT(Normalisasi!$P$19-Konvergensi!$H$651;2));0))</f>
        <v/>
      </c>
      <c r="H613" t="n">
        <v>0</v>
      </c>
      <c r="I613" t="n">
        <v>1.427475282001043</v>
      </c>
    </row>
    <row r="614">
      <c r="A614">
        <f>Data_Awal!A20</f>
        <v/>
      </c>
      <c r="B614">
        <f>Data_Awal!B20</f>
        <v/>
      </c>
      <c r="C614">
        <f>AKAR(JUMLAH(PANGKAT(Normalisasi!$J$20-Konvergensi!$B$584;2);PANGKAT(Normalisasi!$K$20-Konvergensi!$C$584;2);PANGKAT(Normalisasi!$L$20-Konvergensi!$D$584;2);PANGKAT(Normalisasi!$M$20-Konvergensi!$E$584;2);PANGKAT(Normalisasi!$N$20-Konvergensi!$F$584;2);PANGKAT(Normalisasi!$O$20-Konvergensi!$G$584;2);PANGKAT(Normalisasi!$P$20-Konvergensi!$H$584;2)))</f>
        <v/>
      </c>
      <c r="D614">
        <f>AKAR(JUMLAH(PANGKAT(Normalisasi!$J$20-Konvergensi!$B$585;2);PANGKAT(Normalisasi!$K$20-Konvergensi!$C$585;2);PANGKAT(Normalisasi!$L$20-Konvergensi!$D$585;2);PANGKAT(Normalisasi!$M$20-Konvergensi!$E$585;2);PANGKAT(Normalisasi!$N$20-Konvergensi!$F$585;2);PANGKAT(Normalisasi!$O$20-Konvergensi!$G$585;2);PANGKAT(Normalisasi!$P$20-Konvergensi!$H$585;2)))</f>
        <v/>
      </c>
      <c r="E614">
        <f>AKAR(JUMLAH(PANGKAT(Normalisasi!$J$20-Konvergensi!$B$586;2);PANGKAT(Normalisasi!$K$20-Konvergensi!$C$586;2);PANGKAT(Normalisasi!$L$20-Konvergensi!$D$586;2);PANGKAT(Normalisasi!$M$20-Konvergensi!$E$586;2);PANGKAT(Normalisasi!$N$20-Konvergensi!$F$586;2);PANGKAT(Normalisasi!$O$20-Konvergensi!$G$586;2);PANGKAT(Normalisasi!$P$20-Konvergensi!$H$586;2)))</f>
        <v/>
      </c>
      <c r="F614">
        <f>JIKA(C614&lt;=D614;=JIKA(C614&lt;=E614;0;2);=JIKA(D614&lt;=E614;1;2))</f>
        <v/>
      </c>
      <c r="G614">
        <f>JUMLAH(JIKA(F614=0;JUMLAH(PANGKAT(Normalisasi!$J$20-Konvergensi!$B$649;2);PANGKAT(Normalisasi!$K$20-Konvergensi!$C$649;2);PANGKAT(Normalisasi!$L$20-Konvergensi!$D$649;2);PANGKAT(Normalisasi!$M$20-Konvergensi!$E$649;2);PANGKAT(Normalisasi!$N$20-Konvergensi!$F$649;2);PANGKAT(Normalisasi!$O$20-Konvergensi!$G$649;2);PANGKAT(Normalisasi!$P$20-Konvergensi!$H$649;2));0);JIKA(F614=1;JUMLAH(PANGKAT(Normalisasi!$J$20-Konvergensi!$B$650;2);PANGKAT(Normalisasi!$K$20-Konvergensi!$C$650;2);PANGKAT(Normalisasi!$L$20-Konvergensi!$D$650;2);PANGKAT(Normalisasi!$M$20-Konvergensi!$E$650;2);PANGKAT(Normalisasi!$N$20-Konvergensi!$F$650;2);PANGKAT(Normalisasi!$O$20-Konvergensi!$G$650;2);PANGKAT(Normalisasi!$P$20-Konvergensi!$H$650;2));0);JIKA(F614=2;JUMLAH(PANGKAT(Normalisasi!$J$20-Konvergensi!$B$651;2);PANGKAT(Normalisasi!$K$20-Konvergensi!$C$651;2);PANGKAT(Normalisasi!$L$20-Konvergensi!$D$651;2);PANGKAT(Normalisasi!$M$20-Konvergensi!$E$651;2);PANGKAT(Normalisasi!$N$20-Konvergensi!$F$651;2);PANGKAT(Normalisasi!$O$20-Konvergensi!$G$651;2);PANGKAT(Normalisasi!$P$20-Konvergensi!$H$651;2));0))</f>
        <v/>
      </c>
      <c r="H614" t="n">
        <v>0</v>
      </c>
      <c r="I614" t="n">
        <v>4.087373307121281</v>
      </c>
    </row>
    <row r="615">
      <c r="A615">
        <f>Data_Awal!A21</f>
        <v/>
      </c>
      <c r="B615">
        <f>Data_Awal!B21</f>
        <v/>
      </c>
      <c r="C615">
        <f>AKAR(JUMLAH(PANGKAT(Normalisasi!$J$21-Konvergensi!$B$584;2);PANGKAT(Normalisasi!$K$21-Konvergensi!$C$584;2);PANGKAT(Normalisasi!$L$21-Konvergensi!$D$584;2);PANGKAT(Normalisasi!$M$21-Konvergensi!$E$584;2);PANGKAT(Normalisasi!$N$21-Konvergensi!$F$584;2);PANGKAT(Normalisasi!$O$21-Konvergensi!$G$584;2);PANGKAT(Normalisasi!$P$21-Konvergensi!$H$584;2)))</f>
        <v/>
      </c>
      <c r="D615">
        <f>AKAR(JUMLAH(PANGKAT(Normalisasi!$J$21-Konvergensi!$B$585;2);PANGKAT(Normalisasi!$K$21-Konvergensi!$C$585;2);PANGKAT(Normalisasi!$L$21-Konvergensi!$D$585;2);PANGKAT(Normalisasi!$M$21-Konvergensi!$E$585;2);PANGKAT(Normalisasi!$N$21-Konvergensi!$F$585;2);PANGKAT(Normalisasi!$O$21-Konvergensi!$G$585;2);PANGKAT(Normalisasi!$P$21-Konvergensi!$H$585;2)))</f>
        <v/>
      </c>
      <c r="E615">
        <f>AKAR(JUMLAH(PANGKAT(Normalisasi!$J$21-Konvergensi!$B$586;2);PANGKAT(Normalisasi!$K$21-Konvergensi!$C$586;2);PANGKAT(Normalisasi!$L$21-Konvergensi!$D$586;2);PANGKAT(Normalisasi!$M$21-Konvergensi!$E$586;2);PANGKAT(Normalisasi!$N$21-Konvergensi!$F$586;2);PANGKAT(Normalisasi!$O$21-Konvergensi!$G$586;2);PANGKAT(Normalisasi!$P$21-Konvergensi!$H$586;2)))</f>
        <v/>
      </c>
      <c r="F615">
        <f>JIKA(C615&lt;=D615;=JIKA(C615&lt;=E615;0;2);=JIKA(D615&lt;=E615;1;2))</f>
        <v/>
      </c>
      <c r="G615">
        <f>JUMLAH(JIKA(F615=0;JUMLAH(PANGKAT(Normalisasi!$J$21-Konvergensi!$B$649;2);PANGKAT(Normalisasi!$K$21-Konvergensi!$C$649;2);PANGKAT(Normalisasi!$L$21-Konvergensi!$D$649;2);PANGKAT(Normalisasi!$M$21-Konvergensi!$E$649;2);PANGKAT(Normalisasi!$N$21-Konvergensi!$F$649;2);PANGKAT(Normalisasi!$O$21-Konvergensi!$G$649;2);PANGKAT(Normalisasi!$P$21-Konvergensi!$H$649;2));0);JIKA(F615=1;JUMLAH(PANGKAT(Normalisasi!$J$21-Konvergensi!$B$650;2);PANGKAT(Normalisasi!$K$21-Konvergensi!$C$650;2);PANGKAT(Normalisasi!$L$21-Konvergensi!$D$650;2);PANGKAT(Normalisasi!$M$21-Konvergensi!$E$650;2);PANGKAT(Normalisasi!$N$21-Konvergensi!$F$650;2);PANGKAT(Normalisasi!$O$21-Konvergensi!$G$650;2);PANGKAT(Normalisasi!$P$21-Konvergensi!$H$650;2));0);JIKA(F615=2;JUMLAH(PANGKAT(Normalisasi!$J$21-Konvergensi!$B$651;2);PANGKAT(Normalisasi!$K$21-Konvergensi!$C$651;2);PANGKAT(Normalisasi!$L$21-Konvergensi!$D$651;2);PANGKAT(Normalisasi!$M$21-Konvergensi!$E$651;2);PANGKAT(Normalisasi!$N$21-Konvergensi!$F$651;2);PANGKAT(Normalisasi!$O$21-Konvergensi!$G$651;2);PANGKAT(Normalisasi!$P$21-Konvergensi!$H$651;2));0))</f>
        <v/>
      </c>
      <c r="H615" t="n">
        <v>2</v>
      </c>
      <c r="I615" t="n">
        <v>7.323492635943206</v>
      </c>
    </row>
    <row r="616">
      <c r="A616">
        <f>Data_Awal!A22</f>
        <v/>
      </c>
      <c r="B616">
        <f>Data_Awal!B22</f>
        <v/>
      </c>
      <c r="C616">
        <f>AKAR(JUMLAH(PANGKAT(Normalisasi!$J$22-Konvergensi!$B$584;2);PANGKAT(Normalisasi!$K$22-Konvergensi!$C$584;2);PANGKAT(Normalisasi!$L$22-Konvergensi!$D$584;2);PANGKAT(Normalisasi!$M$22-Konvergensi!$E$584;2);PANGKAT(Normalisasi!$N$22-Konvergensi!$F$584;2);PANGKAT(Normalisasi!$O$22-Konvergensi!$G$584;2);PANGKAT(Normalisasi!$P$22-Konvergensi!$H$584;2)))</f>
        <v/>
      </c>
      <c r="D616">
        <f>AKAR(JUMLAH(PANGKAT(Normalisasi!$J$22-Konvergensi!$B$585;2);PANGKAT(Normalisasi!$K$22-Konvergensi!$C$585;2);PANGKAT(Normalisasi!$L$22-Konvergensi!$D$585;2);PANGKAT(Normalisasi!$M$22-Konvergensi!$E$585;2);PANGKAT(Normalisasi!$N$22-Konvergensi!$F$585;2);PANGKAT(Normalisasi!$O$22-Konvergensi!$G$585;2);PANGKAT(Normalisasi!$P$22-Konvergensi!$H$585;2)))</f>
        <v/>
      </c>
      <c r="E616">
        <f>AKAR(JUMLAH(PANGKAT(Normalisasi!$J$22-Konvergensi!$B$586;2);PANGKAT(Normalisasi!$K$22-Konvergensi!$C$586;2);PANGKAT(Normalisasi!$L$22-Konvergensi!$D$586;2);PANGKAT(Normalisasi!$M$22-Konvergensi!$E$586;2);PANGKAT(Normalisasi!$N$22-Konvergensi!$F$586;2);PANGKAT(Normalisasi!$O$22-Konvergensi!$G$586;2);PANGKAT(Normalisasi!$P$22-Konvergensi!$H$586;2)))</f>
        <v/>
      </c>
      <c r="F616">
        <f>JIKA(C616&lt;=D616;=JIKA(C616&lt;=E616;0;2);=JIKA(D616&lt;=E616;1;2))</f>
        <v/>
      </c>
      <c r="G616">
        <f>JUMLAH(JIKA(F616=0;JUMLAH(PANGKAT(Normalisasi!$J$22-Konvergensi!$B$649;2);PANGKAT(Normalisasi!$K$22-Konvergensi!$C$649;2);PANGKAT(Normalisasi!$L$22-Konvergensi!$D$649;2);PANGKAT(Normalisasi!$M$22-Konvergensi!$E$649;2);PANGKAT(Normalisasi!$N$22-Konvergensi!$F$649;2);PANGKAT(Normalisasi!$O$22-Konvergensi!$G$649;2);PANGKAT(Normalisasi!$P$22-Konvergensi!$H$649;2));0);JIKA(F616=1;JUMLAH(PANGKAT(Normalisasi!$J$22-Konvergensi!$B$650;2);PANGKAT(Normalisasi!$K$22-Konvergensi!$C$650;2);PANGKAT(Normalisasi!$L$22-Konvergensi!$D$650;2);PANGKAT(Normalisasi!$M$22-Konvergensi!$E$650;2);PANGKAT(Normalisasi!$N$22-Konvergensi!$F$650;2);PANGKAT(Normalisasi!$O$22-Konvergensi!$G$650;2);PANGKAT(Normalisasi!$P$22-Konvergensi!$H$650;2));0);JIKA(F616=2;JUMLAH(PANGKAT(Normalisasi!$J$22-Konvergensi!$B$651;2);PANGKAT(Normalisasi!$K$22-Konvergensi!$C$651;2);PANGKAT(Normalisasi!$L$22-Konvergensi!$D$651;2);PANGKAT(Normalisasi!$M$22-Konvergensi!$E$651;2);PANGKAT(Normalisasi!$N$22-Konvergensi!$F$651;2);PANGKAT(Normalisasi!$O$22-Konvergensi!$G$651;2);PANGKAT(Normalisasi!$P$22-Konvergensi!$H$651;2));0))</f>
        <v/>
      </c>
      <c r="H616" t="n">
        <v>2</v>
      </c>
      <c r="I616" t="n">
        <v>5.721368230307849</v>
      </c>
    </row>
    <row r="617">
      <c r="A617">
        <f>Data_Awal!A23</f>
        <v/>
      </c>
      <c r="B617">
        <f>Data_Awal!B23</f>
        <v/>
      </c>
      <c r="C617">
        <f>AKAR(JUMLAH(PANGKAT(Normalisasi!$J$23-Konvergensi!$B$584;2);PANGKAT(Normalisasi!$K$23-Konvergensi!$C$584;2);PANGKAT(Normalisasi!$L$23-Konvergensi!$D$584;2);PANGKAT(Normalisasi!$M$23-Konvergensi!$E$584;2);PANGKAT(Normalisasi!$N$23-Konvergensi!$F$584;2);PANGKAT(Normalisasi!$O$23-Konvergensi!$G$584;2);PANGKAT(Normalisasi!$P$23-Konvergensi!$H$584;2)))</f>
        <v/>
      </c>
      <c r="D617">
        <f>AKAR(JUMLAH(PANGKAT(Normalisasi!$J$23-Konvergensi!$B$585;2);PANGKAT(Normalisasi!$K$23-Konvergensi!$C$585;2);PANGKAT(Normalisasi!$L$23-Konvergensi!$D$585;2);PANGKAT(Normalisasi!$M$23-Konvergensi!$E$585;2);PANGKAT(Normalisasi!$N$23-Konvergensi!$F$585;2);PANGKAT(Normalisasi!$O$23-Konvergensi!$G$585;2);PANGKAT(Normalisasi!$P$23-Konvergensi!$H$585;2)))</f>
        <v/>
      </c>
      <c r="E617">
        <f>AKAR(JUMLAH(PANGKAT(Normalisasi!$J$23-Konvergensi!$B$586;2);PANGKAT(Normalisasi!$K$23-Konvergensi!$C$586;2);PANGKAT(Normalisasi!$L$23-Konvergensi!$D$586;2);PANGKAT(Normalisasi!$M$23-Konvergensi!$E$586;2);PANGKAT(Normalisasi!$N$23-Konvergensi!$F$586;2);PANGKAT(Normalisasi!$O$23-Konvergensi!$G$586;2);PANGKAT(Normalisasi!$P$23-Konvergensi!$H$586;2)))</f>
        <v/>
      </c>
      <c r="F617">
        <f>JIKA(C617&lt;=D617;=JIKA(C617&lt;=E617;0;2);=JIKA(D617&lt;=E617;1;2))</f>
        <v/>
      </c>
      <c r="G617">
        <f>JUMLAH(JIKA(F617=0;JUMLAH(PANGKAT(Normalisasi!$J$23-Konvergensi!$B$649;2);PANGKAT(Normalisasi!$K$23-Konvergensi!$C$649;2);PANGKAT(Normalisasi!$L$23-Konvergensi!$D$649;2);PANGKAT(Normalisasi!$M$23-Konvergensi!$E$649;2);PANGKAT(Normalisasi!$N$23-Konvergensi!$F$649;2);PANGKAT(Normalisasi!$O$23-Konvergensi!$G$649;2);PANGKAT(Normalisasi!$P$23-Konvergensi!$H$649;2));0);JIKA(F617=1;JUMLAH(PANGKAT(Normalisasi!$J$23-Konvergensi!$B$650;2);PANGKAT(Normalisasi!$K$23-Konvergensi!$C$650;2);PANGKAT(Normalisasi!$L$23-Konvergensi!$D$650;2);PANGKAT(Normalisasi!$M$23-Konvergensi!$E$650;2);PANGKAT(Normalisasi!$N$23-Konvergensi!$F$650;2);PANGKAT(Normalisasi!$O$23-Konvergensi!$G$650;2);PANGKAT(Normalisasi!$P$23-Konvergensi!$H$650;2));0);JIKA(F617=2;JUMLAH(PANGKAT(Normalisasi!$J$23-Konvergensi!$B$651;2);PANGKAT(Normalisasi!$K$23-Konvergensi!$C$651;2);PANGKAT(Normalisasi!$L$23-Konvergensi!$D$651;2);PANGKAT(Normalisasi!$M$23-Konvergensi!$E$651;2);PANGKAT(Normalisasi!$N$23-Konvergensi!$F$651;2);PANGKAT(Normalisasi!$O$23-Konvergensi!$G$651;2);PANGKAT(Normalisasi!$P$23-Konvergensi!$H$651;2));0))</f>
        <v/>
      </c>
      <c r="H617" t="n">
        <v>1</v>
      </c>
      <c r="I617" t="n">
        <v>6.268119608809372</v>
      </c>
    </row>
    <row r="618">
      <c r="A618">
        <f>Data_Awal!A24</f>
        <v/>
      </c>
      <c r="B618">
        <f>Data_Awal!B24</f>
        <v/>
      </c>
      <c r="C618">
        <f>AKAR(JUMLAH(PANGKAT(Normalisasi!$J$24-Konvergensi!$B$584;2);PANGKAT(Normalisasi!$K$24-Konvergensi!$C$584;2);PANGKAT(Normalisasi!$L$24-Konvergensi!$D$584;2);PANGKAT(Normalisasi!$M$24-Konvergensi!$E$584;2);PANGKAT(Normalisasi!$N$24-Konvergensi!$F$584;2);PANGKAT(Normalisasi!$O$24-Konvergensi!$G$584;2);PANGKAT(Normalisasi!$P$24-Konvergensi!$H$584;2)))</f>
        <v/>
      </c>
      <c r="D618">
        <f>AKAR(JUMLAH(PANGKAT(Normalisasi!$J$24-Konvergensi!$B$585;2);PANGKAT(Normalisasi!$K$24-Konvergensi!$C$585;2);PANGKAT(Normalisasi!$L$24-Konvergensi!$D$585;2);PANGKAT(Normalisasi!$M$24-Konvergensi!$E$585;2);PANGKAT(Normalisasi!$N$24-Konvergensi!$F$585;2);PANGKAT(Normalisasi!$O$24-Konvergensi!$G$585;2);PANGKAT(Normalisasi!$P$24-Konvergensi!$H$585;2)))</f>
        <v/>
      </c>
      <c r="E618">
        <f>AKAR(JUMLAH(PANGKAT(Normalisasi!$J$24-Konvergensi!$B$586;2);PANGKAT(Normalisasi!$K$24-Konvergensi!$C$586;2);PANGKAT(Normalisasi!$L$24-Konvergensi!$D$586;2);PANGKAT(Normalisasi!$M$24-Konvergensi!$E$586;2);PANGKAT(Normalisasi!$N$24-Konvergensi!$F$586;2);PANGKAT(Normalisasi!$O$24-Konvergensi!$G$586;2);PANGKAT(Normalisasi!$P$24-Konvergensi!$H$586;2)))</f>
        <v/>
      </c>
      <c r="F618">
        <f>JIKA(C618&lt;=D618;=JIKA(C618&lt;=E618;0;2);=JIKA(D618&lt;=E618;1;2))</f>
        <v/>
      </c>
      <c r="G618">
        <f>JUMLAH(JIKA(F618=0;JUMLAH(PANGKAT(Normalisasi!$J$24-Konvergensi!$B$649;2);PANGKAT(Normalisasi!$K$24-Konvergensi!$C$649;2);PANGKAT(Normalisasi!$L$24-Konvergensi!$D$649;2);PANGKAT(Normalisasi!$M$24-Konvergensi!$E$649;2);PANGKAT(Normalisasi!$N$24-Konvergensi!$F$649;2);PANGKAT(Normalisasi!$O$24-Konvergensi!$G$649;2);PANGKAT(Normalisasi!$P$24-Konvergensi!$H$649;2));0);JIKA(F618=1;JUMLAH(PANGKAT(Normalisasi!$J$24-Konvergensi!$B$650;2);PANGKAT(Normalisasi!$K$24-Konvergensi!$C$650;2);PANGKAT(Normalisasi!$L$24-Konvergensi!$D$650;2);PANGKAT(Normalisasi!$M$24-Konvergensi!$E$650;2);PANGKAT(Normalisasi!$N$24-Konvergensi!$F$650;2);PANGKAT(Normalisasi!$O$24-Konvergensi!$G$650;2);PANGKAT(Normalisasi!$P$24-Konvergensi!$H$650;2));0);JIKA(F618=2;JUMLAH(PANGKAT(Normalisasi!$J$24-Konvergensi!$B$651;2);PANGKAT(Normalisasi!$K$24-Konvergensi!$C$651;2);PANGKAT(Normalisasi!$L$24-Konvergensi!$D$651;2);PANGKAT(Normalisasi!$M$24-Konvergensi!$E$651;2);PANGKAT(Normalisasi!$N$24-Konvergensi!$F$651;2);PANGKAT(Normalisasi!$O$24-Konvergensi!$G$651;2);PANGKAT(Normalisasi!$P$24-Konvergensi!$H$651;2));0))</f>
        <v/>
      </c>
      <c r="H618" t="n">
        <v>2</v>
      </c>
      <c r="I618" t="n">
        <v>3.166090886905191</v>
      </c>
    </row>
    <row r="619">
      <c r="A619">
        <f>Data_Awal!A25</f>
        <v/>
      </c>
      <c r="B619">
        <f>Data_Awal!B25</f>
        <v/>
      </c>
      <c r="C619">
        <f>AKAR(JUMLAH(PANGKAT(Normalisasi!$J$25-Konvergensi!$B$584;2);PANGKAT(Normalisasi!$K$25-Konvergensi!$C$584;2);PANGKAT(Normalisasi!$L$25-Konvergensi!$D$584;2);PANGKAT(Normalisasi!$M$25-Konvergensi!$E$584;2);PANGKAT(Normalisasi!$N$25-Konvergensi!$F$584;2);PANGKAT(Normalisasi!$O$25-Konvergensi!$G$584;2);PANGKAT(Normalisasi!$P$25-Konvergensi!$H$584;2)))</f>
        <v/>
      </c>
      <c r="D619">
        <f>AKAR(JUMLAH(PANGKAT(Normalisasi!$J$25-Konvergensi!$B$585;2);PANGKAT(Normalisasi!$K$25-Konvergensi!$C$585;2);PANGKAT(Normalisasi!$L$25-Konvergensi!$D$585;2);PANGKAT(Normalisasi!$M$25-Konvergensi!$E$585;2);PANGKAT(Normalisasi!$N$25-Konvergensi!$F$585;2);PANGKAT(Normalisasi!$O$25-Konvergensi!$G$585;2);PANGKAT(Normalisasi!$P$25-Konvergensi!$H$585;2)))</f>
        <v/>
      </c>
      <c r="E619">
        <f>AKAR(JUMLAH(PANGKAT(Normalisasi!$J$25-Konvergensi!$B$586;2);PANGKAT(Normalisasi!$K$25-Konvergensi!$C$586;2);PANGKAT(Normalisasi!$L$25-Konvergensi!$D$586;2);PANGKAT(Normalisasi!$M$25-Konvergensi!$E$586;2);PANGKAT(Normalisasi!$N$25-Konvergensi!$F$586;2);PANGKAT(Normalisasi!$O$25-Konvergensi!$G$586;2);PANGKAT(Normalisasi!$P$25-Konvergensi!$H$586;2)))</f>
        <v/>
      </c>
      <c r="F619">
        <f>JIKA(C619&lt;=D619;=JIKA(C619&lt;=E619;0;2);=JIKA(D619&lt;=E619;1;2))</f>
        <v/>
      </c>
      <c r="G619">
        <f>JUMLAH(JIKA(F619=0;JUMLAH(PANGKAT(Normalisasi!$J$25-Konvergensi!$B$649;2);PANGKAT(Normalisasi!$K$25-Konvergensi!$C$649;2);PANGKAT(Normalisasi!$L$25-Konvergensi!$D$649;2);PANGKAT(Normalisasi!$M$25-Konvergensi!$E$649;2);PANGKAT(Normalisasi!$N$25-Konvergensi!$F$649;2);PANGKAT(Normalisasi!$O$25-Konvergensi!$G$649;2);PANGKAT(Normalisasi!$P$25-Konvergensi!$H$649;2));0);JIKA(F619=1;JUMLAH(PANGKAT(Normalisasi!$J$25-Konvergensi!$B$650;2);PANGKAT(Normalisasi!$K$25-Konvergensi!$C$650;2);PANGKAT(Normalisasi!$L$25-Konvergensi!$D$650;2);PANGKAT(Normalisasi!$M$25-Konvergensi!$E$650;2);PANGKAT(Normalisasi!$N$25-Konvergensi!$F$650;2);PANGKAT(Normalisasi!$O$25-Konvergensi!$G$650;2);PANGKAT(Normalisasi!$P$25-Konvergensi!$H$650;2));0);JIKA(F619=2;JUMLAH(PANGKAT(Normalisasi!$J$25-Konvergensi!$B$651;2);PANGKAT(Normalisasi!$K$25-Konvergensi!$C$651;2);PANGKAT(Normalisasi!$L$25-Konvergensi!$D$651;2);PANGKAT(Normalisasi!$M$25-Konvergensi!$E$651;2);PANGKAT(Normalisasi!$N$25-Konvergensi!$F$651;2);PANGKAT(Normalisasi!$O$25-Konvergensi!$G$651;2);PANGKAT(Normalisasi!$P$25-Konvergensi!$H$651;2));0))</f>
        <v/>
      </c>
      <c r="H619" t="n">
        <v>1</v>
      </c>
      <c r="I619" t="n">
        <v>3.927508727928172</v>
      </c>
    </row>
    <row r="620">
      <c r="A620">
        <f>Data_Awal!A26</f>
        <v/>
      </c>
      <c r="B620">
        <f>Data_Awal!B26</f>
        <v/>
      </c>
      <c r="C620">
        <f>AKAR(JUMLAH(PANGKAT(Normalisasi!$J$26-Konvergensi!$B$584;2);PANGKAT(Normalisasi!$K$26-Konvergensi!$C$584;2);PANGKAT(Normalisasi!$L$26-Konvergensi!$D$584;2);PANGKAT(Normalisasi!$M$26-Konvergensi!$E$584;2);PANGKAT(Normalisasi!$N$26-Konvergensi!$F$584;2);PANGKAT(Normalisasi!$O$26-Konvergensi!$G$584;2);PANGKAT(Normalisasi!$P$26-Konvergensi!$H$584;2)))</f>
        <v/>
      </c>
      <c r="D620">
        <f>AKAR(JUMLAH(PANGKAT(Normalisasi!$J$26-Konvergensi!$B$585;2);PANGKAT(Normalisasi!$K$26-Konvergensi!$C$585;2);PANGKAT(Normalisasi!$L$26-Konvergensi!$D$585;2);PANGKAT(Normalisasi!$M$26-Konvergensi!$E$585;2);PANGKAT(Normalisasi!$N$26-Konvergensi!$F$585;2);PANGKAT(Normalisasi!$O$26-Konvergensi!$G$585;2);PANGKAT(Normalisasi!$P$26-Konvergensi!$H$585;2)))</f>
        <v/>
      </c>
      <c r="E620">
        <f>AKAR(JUMLAH(PANGKAT(Normalisasi!$J$26-Konvergensi!$B$586;2);PANGKAT(Normalisasi!$K$26-Konvergensi!$C$586;2);PANGKAT(Normalisasi!$L$26-Konvergensi!$D$586;2);PANGKAT(Normalisasi!$M$26-Konvergensi!$E$586;2);PANGKAT(Normalisasi!$N$26-Konvergensi!$F$586;2);PANGKAT(Normalisasi!$O$26-Konvergensi!$G$586;2);PANGKAT(Normalisasi!$P$26-Konvergensi!$H$586;2)))</f>
        <v/>
      </c>
      <c r="F620">
        <f>JIKA(C620&lt;=D620;=JIKA(C620&lt;=E620;0;2);=JIKA(D620&lt;=E620;1;2))</f>
        <v/>
      </c>
      <c r="G620">
        <f>JUMLAH(JIKA(F620=0;JUMLAH(PANGKAT(Normalisasi!$J$26-Konvergensi!$B$649;2);PANGKAT(Normalisasi!$K$26-Konvergensi!$C$649;2);PANGKAT(Normalisasi!$L$26-Konvergensi!$D$649;2);PANGKAT(Normalisasi!$M$26-Konvergensi!$E$649;2);PANGKAT(Normalisasi!$N$26-Konvergensi!$F$649;2);PANGKAT(Normalisasi!$O$26-Konvergensi!$G$649;2);PANGKAT(Normalisasi!$P$26-Konvergensi!$H$649;2));0);JIKA(F620=1;JUMLAH(PANGKAT(Normalisasi!$J$26-Konvergensi!$B$650;2);PANGKAT(Normalisasi!$K$26-Konvergensi!$C$650;2);PANGKAT(Normalisasi!$L$26-Konvergensi!$D$650;2);PANGKAT(Normalisasi!$M$26-Konvergensi!$E$650;2);PANGKAT(Normalisasi!$N$26-Konvergensi!$F$650;2);PANGKAT(Normalisasi!$O$26-Konvergensi!$G$650;2);PANGKAT(Normalisasi!$P$26-Konvergensi!$H$650;2));0);JIKA(F620=2;JUMLAH(PANGKAT(Normalisasi!$J$26-Konvergensi!$B$651;2);PANGKAT(Normalisasi!$K$26-Konvergensi!$C$651;2);PANGKAT(Normalisasi!$L$26-Konvergensi!$D$651;2);PANGKAT(Normalisasi!$M$26-Konvergensi!$E$651;2);PANGKAT(Normalisasi!$N$26-Konvergensi!$F$651;2);PANGKAT(Normalisasi!$O$26-Konvergensi!$G$651;2);PANGKAT(Normalisasi!$P$26-Konvergensi!$H$651;2));0))</f>
        <v/>
      </c>
      <c r="H620" t="n">
        <v>2</v>
      </c>
      <c r="I620" t="n">
        <v>5.022141516651888</v>
      </c>
    </row>
    <row r="621">
      <c r="A621">
        <f>Data_Awal!A27</f>
        <v/>
      </c>
      <c r="B621">
        <f>Data_Awal!B27</f>
        <v/>
      </c>
      <c r="C621">
        <f>AKAR(JUMLAH(PANGKAT(Normalisasi!$J$27-Konvergensi!$B$584;2);PANGKAT(Normalisasi!$K$27-Konvergensi!$C$584;2);PANGKAT(Normalisasi!$L$27-Konvergensi!$D$584;2);PANGKAT(Normalisasi!$M$27-Konvergensi!$E$584;2);PANGKAT(Normalisasi!$N$27-Konvergensi!$F$584;2);PANGKAT(Normalisasi!$O$27-Konvergensi!$G$584;2);PANGKAT(Normalisasi!$P$27-Konvergensi!$H$584;2)))</f>
        <v/>
      </c>
      <c r="D621">
        <f>AKAR(JUMLAH(PANGKAT(Normalisasi!$J$27-Konvergensi!$B$585;2);PANGKAT(Normalisasi!$K$27-Konvergensi!$C$585;2);PANGKAT(Normalisasi!$L$27-Konvergensi!$D$585;2);PANGKAT(Normalisasi!$M$27-Konvergensi!$E$585;2);PANGKAT(Normalisasi!$N$27-Konvergensi!$F$585;2);PANGKAT(Normalisasi!$O$27-Konvergensi!$G$585;2);PANGKAT(Normalisasi!$P$27-Konvergensi!$H$585;2)))</f>
        <v/>
      </c>
      <c r="E621">
        <f>AKAR(JUMLAH(PANGKAT(Normalisasi!$J$27-Konvergensi!$B$586;2);PANGKAT(Normalisasi!$K$27-Konvergensi!$C$586;2);PANGKAT(Normalisasi!$L$27-Konvergensi!$D$586;2);PANGKAT(Normalisasi!$M$27-Konvergensi!$E$586;2);PANGKAT(Normalisasi!$N$27-Konvergensi!$F$586;2);PANGKAT(Normalisasi!$O$27-Konvergensi!$G$586;2);PANGKAT(Normalisasi!$P$27-Konvergensi!$H$586;2)))</f>
        <v/>
      </c>
      <c r="F621">
        <f>JIKA(C621&lt;=D621;=JIKA(C621&lt;=E621;0;2);=JIKA(D621&lt;=E621;1;2))</f>
        <v/>
      </c>
      <c r="G621">
        <f>JUMLAH(JIKA(F621=0;JUMLAH(PANGKAT(Normalisasi!$J$27-Konvergensi!$B$649;2);PANGKAT(Normalisasi!$K$27-Konvergensi!$C$649;2);PANGKAT(Normalisasi!$L$27-Konvergensi!$D$649;2);PANGKAT(Normalisasi!$M$27-Konvergensi!$E$649;2);PANGKAT(Normalisasi!$N$27-Konvergensi!$F$649;2);PANGKAT(Normalisasi!$O$27-Konvergensi!$G$649;2);PANGKAT(Normalisasi!$P$27-Konvergensi!$H$649;2));0);JIKA(F621=1;JUMLAH(PANGKAT(Normalisasi!$J$27-Konvergensi!$B$650;2);PANGKAT(Normalisasi!$K$27-Konvergensi!$C$650;2);PANGKAT(Normalisasi!$L$27-Konvergensi!$D$650;2);PANGKAT(Normalisasi!$M$27-Konvergensi!$E$650;2);PANGKAT(Normalisasi!$N$27-Konvergensi!$F$650;2);PANGKAT(Normalisasi!$O$27-Konvergensi!$G$650;2);PANGKAT(Normalisasi!$P$27-Konvergensi!$H$650;2));0);JIKA(F621=2;JUMLAH(PANGKAT(Normalisasi!$J$27-Konvergensi!$B$651;2);PANGKAT(Normalisasi!$K$27-Konvergensi!$C$651;2);PANGKAT(Normalisasi!$L$27-Konvergensi!$D$651;2);PANGKAT(Normalisasi!$M$27-Konvergensi!$E$651;2);PANGKAT(Normalisasi!$N$27-Konvergensi!$F$651;2);PANGKAT(Normalisasi!$O$27-Konvergensi!$G$651;2);PANGKAT(Normalisasi!$P$27-Konvergensi!$H$651;2));0))</f>
        <v/>
      </c>
      <c r="H621" t="n">
        <v>0</v>
      </c>
      <c r="I621" t="n">
        <v>2.43293227254216</v>
      </c>
    </row>
    <row r="622">
      <c r="A622">
        <f>Data_Awal!A28</f>
        <v/>
      </c>
      <c r="B622">
        <f>Data_Awal!B28</f>
        <v/>
      </c>
      <c r="C622">
        <f>AKAR(JUMLAH(PANGKAT(Normalisasi!$J$28-Konvergensi!$B$584;2);PANGKAT(Normalisasi!$K$28-Konvergensi!$C$584;2);PANGKAT(Normalisasi!$L$28-Konvergensi!$D$584;2);PANGKAT(Normalisasi!$M$28-Konvergensi!$E$584;2);PANGKAT(Normalisasi!$N$28-Konvergensi!$F$584;2);PANGKAT(Normalisasi!$O$28-Konvergensi!$G$584;2);PANGKAT(Normalisasi!$P$28-Konvergensi!$H$584;2)))</f>
        <v/>
      </c>
      <c r="D622">
        <f>AKAR(JUMLAH(PANGKAT(Normalisasi!$J$28-Konvergensi!$B$585;2);PANGKAT(Normalisasi!$K$28-Konvergensi!$C$585;2);PANGKAT(Normalisasi!$L$28-Konvergensi!$D$585;2);PANGKAT(Normalisasi!$M$28-Konvergensi!$E$585;2);PANGKAT(Normalisasi!$N$28-Konvergensi!$F$585;2);PANGKAT(Normalisasi!$O$28-Konvergensi!$G$585;2);PANGKAT(Normalisasi!$P$28-Konvergensi!$H$585;2)))</f>
        <v/>
      </c>
      <c r="E622">
        <f>AKAR(JUMLAH(PANGKAT(Normalisasi!$J$28-Konvergensi!$B$586;2);PANGKAT(Normalisasi!$K$28-Konvergensi!$C$586;2);PANGKAT(Normalisasi!$L$28-Konvergensi!$D$586;2);PANGKAT(Normalisasi!$M$28-Konvergensi!$E$586;2);PANGKAT(Normalisasi!$N$28-Konvergensi!$F$586;2);PANGKAT(Normalisasi!$O$28-Konvergensi!$G$586;2);PANGKAT(Normalisasi!$P$28-Konvergensi!$H$586;2)))</f>
        <v/>
      </c>
      <c r="F622">
        <f>JIKA(C622&lt;=D622;=JIKA(C622&lt;=E622;0;2);=JIKA(D622&lt;=E622;1;2))</f>
        <v/>
      </c>
      <c r="G622">
        <f>JUMLAH(JIKA(F622=0;JUMLAH(PANGKAT(Normalisasi!$J$28-Konvergensi!$B$649;2);PANGKAT(Normalisasi!$K$28-Konvergensi!$C$649;2);PANGKAT(Normalisasi!$L$28-Konvergensi!$D$649;2);PANGKAT(Normalisasi!$M$28-Konvergensi!$E$649;2);PANGKAT(Normalisasi!$N$28-Konvergensi!$F$649;2);PANGKAT(Normalisasi!$O$28-Konvergensi!$G$649;2);PANGKAT(Normalisasi!$P$28-Konvergensi!$H$649;2));0);JIKA(F622=1;JUMLAH(PANGKAT(Normalisasi!$J$28-Konvergensi!$B$650;2);PANGKAT(Normalisasi!$K$28-Konvergensi!$C$650;2);PANGKAT(Normalisasi!$L$28-Konvergensi!$D$650;2);PANGKAT(Normalisasi!$M$28-Konvergensi!$E$650;2);PANGKAT(Normalisasi!$N$28-Konvergensi!$F$650;2);PANGKAT(Normalisasi!$O$28-Konvergensi!$G$650;2);PANGKAT(Normalisasi!$P$28-Konvergensi!$H$650;2));0);JIKA(F622=2;JUMLAH(PANGKAT(Normalisasi!$J$28-Konvergensi!$B$651;2);PANGKAT(Normalisasi!$K$28-Konvergensi!$C$651;2);PANGKAT(Normalisasi!$L$28-Konvergensi!$D$651;2);PANGKAT(Normalisasi!$M$28-Konvergensi!$E$651;2);PANGKAT(Normalisasi!$N$28-Konvergensi!$F$651;2);PANGKAT(Normalisasi!$O$28-Konvergensi!$G$651;2);PANGKAT(Normalisasi!$P$28-Konvergensi!$H$651;2));0))</f>
        <v/>
      </c>
      <c r="H622" t="n">
        <v>2</v>
      </c>
      <c r="I622" t="n">
        <v>8.353231142871648</v>
      </c>
    </row>
    <row r="623">
      <c r="A623">
        <f>Data_Awal!A29</f>
        <v/>
      </c>
      <c r="B623">
        <f>Data_Awal!B29</f>
        <v/>
      </c>
      <c r="C623">
        <f>AKAR(JUMLAH(PANGKAT(Normalisasi!$J$29-Konvergensi!$B$584;2);PANGKAT(Normalisasi!$K$29-Konvergensi!$C$584;2);PANGKAT(Normalisasi!$L$29-Konvergensi!$D$584;2);PANGKAT(Normalisasi!$M$29-Konvergensi!$E$584;2);PANGKAT(Normalisasi!$N$29-Konvergensi!$F$584;2);PANGKAT(Normalisasi!$O$29-Konvergensi!$G$584;2);PANGKAT(Normalisasi!$P$29-Konvergensi!$H$584;2)))</f>
        <v/>
      </c>
      <c r="D623">
        <f>AKAR(JUMLAH(PANGKAT(Normalisasi!$J$29-Konvergensi!$B$585;2);PANGKAT(Normalisasi!$K$29-Konvergensi!$C$585;2);PANGKAT(Normalisasi!$L$29-Konvergensi!$D$585;2);PANGKAT(Normalisasi!$M$29-Konvergensi!$E$585;2);PANGKAT(Normalisasi!$N$29-Konvergensi!$F$585;2);PANGKAT(Normalisasi!$O$29-Konvergensi!$G$585;2);PANGKAT(Normalisasi!$P$29-Konvergensi!$H$585;2)))</f>
        <v/>
      </c>
      <c r="E623">
        <f>AKAR(JUMLAH(PANGKAT(Normalisasi!$J$29-Konvergensi!$B$586;2);PANGKAT(Normalisasi!$K$29-Konvergensi!$C$586;2);PANGKAT(Normalisasi!$L$29-Konvergensi!$D$586;2);PANGKAT(Normalisasi!$M$29-Konvergensi!$E$586;2);PANGKAT(Normalisasi!$N$29-Konvergensi!$F$586;2);PANGKAT(Normalisasi!$O$29-Konvergensi!$G$586;2);PANGKAT(Normalisasi!$P$29-Konvergensi!$H$586;2)))</f>
        <v/>
      </c>
      <c r="F623">
        <f>JIKA(C623&lt;=D623;=JIKA(C623&lt;=E623;0;2);=JIKA(D623&lt;=E623;1;2))</f>
        <v/>
      </c>
      <c r="G623">
        <f>JUMLAH(JIKA(F623=0;JUMLAH(PANGKAT(Normalisasi!$J$29-Konvergensi!$B$649;2);PANGKAT(Normalisasi!$K$29-Konvergensi!$C$649;2);PANGKAT(Normalisasi!$L$29-Konvergensi!$D$649;2);PANGKAT(Normalisasi!$M$29-Konvergensi!$E$649;2);PANGKAT(Normalisasi!$N$29-Konvergensi!$F$649;2);PANGKAT(Normalisasi!$O$29-Konvergensi!$G$649;2);PANGKAT(Normalisasi!$P$29-Konvergensi!$H$649;2));0);JIKA(F623=1;JUMLAH(PANGKAT(Normalisasi!$J$29-Konvergensi!$B$650;2);PANGKAT(Normalisasi!$K$29-Konvergensi!$C$650;2);PANGKAT(Normalisasi!$L$29-Konvergensi!$D$650;2);PANGKAT(Normalisasi!$M$29-Konvergensi!$E$650;2);PANGKAT(Normalisasi!$N$29-Konvergensi!$F$650;2);PANGKAT(Normalisasi!$O$29-Konvergensi!$G$650;2);PANGKAT(Normalisasi!$P$29-Konvergensi!$H$650;2));0);JIKA(F623=2;JUMLAH(PANGKAT(Normalisasi!$J$29-Konvergensi!$B$651;2);PANGKAT(Normalisasi!$K$29-Konvergensi!$C$651;2);PANGKAT(Normalisasi!$L$29-Konvergensi!$D$651;2);PANGKAT(Normalisasi!$M$29-Konvergensi!$E$651;2);PANGKAT(Normalisasi!$N$29-Konvergensi!$F$651;2);PANGKAT(Normalisasi!$O$29-Konvergensi!$G$651;2);PANGKAT(Normalisasi!$P$29-Konvergensi!$H$651;2));0))</f>
        <v/>
      </c>
      <c r="H623" t="n">
        <v>2</v>
      </c>
      <c r="I623" t="n">
        <v>2.989169368793322</v>
      </c>
    </row>
    <row r="624">
      <c r="A624">
        <f>Data_Awal!A30</f>
        <v/>
      </c>
      <c r="B624">
        <f>Data_Awal!B30</f>
        <v/>
      </c>
      <c r="C624">
        <f>AKAR(JUMLAH(PANGKAT(Normalisasi!$J$30-Konvergensi!$B$584;2);PANGKAT(Normalisasi!$K$30-Konvergensi!$C$584;2);PANGKAT(Normalisasi!$L$30-Konvergensi!$D$584;2);PANGKAT(Normalisasi!$M$30-Konvergensi!$E$584;2);PANGKAT(Normalisasi!$N$30-Konvergensi!$F$584;2);PANGKAT(Normalisasi!$O$30-Konvergensi!$G$584;2);PANGKAT(Normalisasi!$P$30-Konvergensi!$H$584;2)))</f>
        <v/>
      </c>
      <c r="D624">
        <f>AKAR(JUMLAH(PANGKAT(Normalisasi!$J$30-Konvergensi!$B$585;2);PANGKAT(Normalisasi!$K$30-Konvergensi!$C$585;2);PANGKAT(Normalisasi!$L$30-Konvergensi!$D$585;2);PANGKAT(Normalisasi!$M$30-Konvergensi!$E$585;2);PANGKAT(Normalisasi!$N$30-Konvergensi!$F$585;2);PANGKAT(Normalisasi!$O$30-Konvergensi!$G$585;2);PANGKAT(Normalisasi!$P$30-Konvergensi!$H$585;2)))</f>
        <v/>
      </c>
      <c r="E624">
        <f>AKAR(JUMLAH(PANGKAT(Normalisasi!$J$30-Konvergensi!$B$586;2);PANGKAT(Normalisasi!$K$30-Konvergensi!$C$586;2);PANGKAT(Normalisasi!$L$30-Konvergensi!$D$586;2);PANGKAT(Normalisasi!$M$30-Konvergensi!$E$586;2);PANGKAT(Normalisasi!$N$30-Konvergensi!$F$586;2);PANGKAT(Normalisasi!$O$30-Konvergensi!$G$586;2);PANGKAT(Normalisasi!$P$30-Konvergensi!$H$586;2)))</f>
        <v/>
      </c>
      <c r="F624">
        <f>JIKA(C624&lt;=D624;=JIKA(C624&lt;=E624;0;2);=JIKA(D624&lt;=E624;1;2))</f>
        <v/>
      </c>
      <c r="G624">
        <f>JUMLAH(JIKA(F624=0;JUMLAH(PANGKAT(Normalisasi!$J$30-Konvergensi!$B$649;2);PANGKAT(Normalisasi!$K$30-Konvergensi!$C$649;2);PANGKAT(Normalisasi!$L$30-Konvergensi!$D$649;2);PANGKAT(Normalisasi!$M$30-Konvergensi!$E$649;2);PANGKAT(Normalisasi!$N$30-Konvergensi!$F$649;2);PANGKAT(Normalisasi!$O$30-Konvergensi!$G$649;2);PANGKAT(Normalisasi!$P$30-Konvergensi!$H$649;2));0);JIKA(F624=1;JUMLAH(PANGKAT(Normalisasi!$J$30-Konvergensi!$B$650;2);PANGKAT(Normalisasi!$K$30-Konvergensi!$C$650;2);PANGKAT(Normalisasi!$L$30-Konvergensi!$D$650;2);PANGKAT(Normalisasi!$M$30-Konvergensi!$E$650;2);PANGKAT(Normalisasi!$N$30-Konvergensi!$F$650;2);PANGKAT(Normalisasi!$O$30-Konvergensi!$G$650;2);PANGKAT(Normalisasi!$P$30-Konvergensi!$H$650;2));0);JIKA(F624=2;JUMLAH(PANGKAT(Normalisasi!$J$30-Konvergensi!$B$651;2);PANGKAT(Normalisasi!$K$30-Konvergensi!$C$651;2);PANGKAT(Normalisasi!$L$30-Konvergensi!$D$651;2);PANGKAT(Normalisasi!$M$30-Konvergensi!$E$651;2);PANGKAT(Normalisasi!$N$30-Konvergensi!$F$651;2);PANGKAT(Normalisasi!$O$30-Konvergensi!$G$651;2);PANGKAT(Normalisasi!$P$30-Konvergensi!$H$651;2));0))</f>
        <v/>
      </c>
      <c r="H624" t="n">
        <v>0</v>
      </c>
      <c r="I624" t="n">
        <v>7.095034130361932</v>
      </c>
    </row>
    <row r="625">
      <c r="A625">
        <f>Data_Awal!A31</f>
        <v/>
      </c>
      <c r="B625">
        <f>Data_Awal!B31</f>
        <v/>
      </c>
      <c r="C625">
        <f>AKAR(JUMLAH(PANGKAT(Normalisasi!$J$31-Konvergensi!$B$584;2);PANGKAT(Normalisasi!$K$31-Konvergensi!$C$584;2);PANGKAT(Normalisasi!$L$31-Konvergensi!$D$584;2);PANGKAT(Normalisasi!$M$31-Konvergensi!$E$584;2);PANGKAT(Normalisasi!$N$31-Konvergensi!$F$584;2);PANGKAT(Normalisasi!$O$31-Konvergensi!$G$584;2);PANGKAT(Normalisasi!$P$31-Konvergensi!$H$584;2)))</f>
        <v/>
      </c>
      <c r="D625">
        <f>AKAR(JUMLAH(PANGKAT(Normalisasi!$J$31-Konvergensi!$B$585;2);PANGKAT(Normalisasi!$K$31-Konvergensi!$C$585;2);PANGKAT(Normalisasi!$L$31-Konvergensi!$D$585;2);PANGKAT(Normalisasi!$M$31-Konvergensi!$E$585;2);PANGKAT(Normalisasi!$N$31-Konvergensi!$F$585;2);PANGKAT(Normalisasi!$O$31-Konvergensi!$G$585;2);PANGKAT(Normalisasi!$P$31-Konvergensi!$H$585;2)))</f>
        <v/>
      </c>
      <c r="E625">
        <f>AKAR(JUMLAH(PANGKAT(Normalisasi!$J$31-Konvergensi!$B$586;2);PANGKAT(Normalisasi!$K$31-Konvergensi!$C$586;2);PANGKAT(Normalisasi!$L$31-Konvergensi!$D$586;2);PANGKAT(Normalisasi!$M$31-Konvergensi!$E$586;2);PANGKAT(Normalisasi!$N$31-Konvergensi!$F$586;2);PANGKAT(Normalisasi!$O$31-Konvergensi!$G$586;2);PANGKAT(Normalisasi!$P$31-Konvergensi!$H$586;2)))</f>
        <v/>
      </c>
      <c r="F625">
        <f>JIKA(C625&lt;=D625;=JIKA(C625&lt;=E625;0;2);=JIKA(D625&lt;=E625;1;2))</f>
        <v/>
      </c>
      <c r="G625">
        <f>JUMLAH(JIKA(F625=0;JUMLAH(PANGKAT(Normalisasi!$J$31-Konvergensi!$B$649;2);PANGKAT(Normalisasi!$K$31-Konvergensi!$C$649;2);PANGKAT(Normalisasi!$L$31-Konvergensi!$D$649;2);PANGKAT(Normalisasi!$M$31-Konvergensi!$E$649;2);PANGKAT(Normalisasi!$N$31-Konvergensi!$F$649;2);PANGKAT(Normalisasi!$O$31-Konvergensi!$G$649;2);PANGKAT(Normalisasi!$P$31-Konvergensi!$H$649;2));0);JIKA(F625=1;JUMLAH(PANGKAT(Normalisasi!$J$31-Konvergensi!$B$650;2);PANGKAT(Normalisasi!$K$31-Konvergensi!$C$650;2);PANGKAT(Normalisasi!$L$31-Konvergensi!$D$650;2);PANGKAT(Normalisasi!$M$31-Konvergensi!$E$650;2);PANGKAT(Normalisasi!$N$31-Konvergensi!$F$650;2);PANGKAT(Normalisasi!$O$31-Konvergensi!$G$650;2);PANGKAT(Normalisasi!$P$31-Konvergensi!$H$650;2));0);JIKA(F625=2;JUMLAH(PANGKAT(Normalisasi!$J$31-Konvergensi!$B$651;2);PANGKAT(Normalisasi!$K$31-Konvergensi!$C$651;2);PANGKAT(Normalisasi!$L$31-Konvergensi!$D$651;2);PANGKAT(Normalisasi!$M$31-Konvergensi!$E$651;2);PANGKAT(Normalisasi!$N$31-Konvergensi!$F$651;2);PANGKAT(Normalisasi!$O$31-Konvergensi!$G$651;2);PANGKAT(Normalisasi!$P$31-Konvergensi!$H$651;2));0))</f>
        <v/>
      </c>
      <c r="H625" t="n">
        <v>0</v>
      </c>
      <c r="I625" t="n">
        <v>6.560740174105017</v>
      </c>
    </row>
    <row r="626">
      <c r="A626">
        <f>Data_Awal!A32</f>
        <v/>
      </c>
      <c r="B626">
        <f>Data_Awal!B32</f>
        <v/>
      </c>
      <c r="C626">
        <f>AKAR(JUMLAH(PANGKAT(Normalisasi!$J$32-Konvergensi!$B$584;2);PANGKAT(Normalisasi!$K$32-Konvergensi!$C$584;2);PANGKAT(Normalisasi!$L$32-Konvergensi!$D$584;2);PANGKAT(Normalisasi!$M$32-Konvergensi!$E$584;2);PANGKAT(Normalisasi!$N$32-Konvergensi!$F$584;2);PANGKAT(Normalisasi!$O$32-Konvergensi!$G$584;2);PANGKAT(Normalisasi!$P$32-Konvergensi!$H$584;2)))</f>
        <v/>
      </c>
      <c r="D626">
        <f>AKAR(JUMLAH(PANGKAT(Normalisasi!$J$32-Konvergensi!$B$585;2);PANGKAT(Normalisasi!$K$32-Konvergensi!$C$585;2);PANGKAT(Normalisasi!$L$32-Konvergensi!$D$585;2);PANGKAT(Normalisasi!$M$32-Konvergensi!$E$585;2);PANGKAT(Normalisasi!$N$32-Konvergensi!$F$585;2);PANGKAT(Normalisasi!$O$32-Konvergensi!$G$585;2);PANGKAT(Normalisasi!$P$32-Konvergensi!$H$585;2)))</f>
        <v/>
      </c>
      <c r="E626">
        <f>AKAR(JUMLAH(PANGKAT(Normalisasi!$J$32-Konvergensi!$B$586;2);PANGKAT(Normalisasi!$K$32-Konvergensi!$C$586;2);PANGKAT(Normalisasi!$L$32-Konvergensi!$D$586;2);PANGKAT(Normalisasi!$M$32-Konvergensi!$E$586;2);PANGKAT(Normalisasi!$N$32-Konvergensi!$F$586;2);PANGKAT(Normalisasi!$O$32-Konvergensi!$G$586;2);PANGKAT(Normalisasi!$P$32-Konvergensi!$H$586;2)))</f>
        <v/>
      </c>
      <c r="F626">
        <f>JIKA(C626&lt;=D626;=JIKA(C626&lt;=E626;0;2);=JIKA(D626&lt;=E626;1;2))</f>
        <v/>
      </c>
      <c r="G626">
        <f>JUMLAH(JIKA(F626=0;JUMLAH(PANGKAT(Normalisasi!$J$32-Konvergensi!$B$649;2);PANGKAT(Normalisasi!$K$32-Konvergensi!$C$649;2);PANGKAT(Normalisasi!$L$32-Konvergensi!$D$649;2);PANGKAT(Normalisasi!$M$32-Konvergensi!$E$649;2);PANGKAT(Normalisasi!$N$32-Konvergensi!$F$649;2);PANGKAT(Normalisasi!$O$32-Konvergensi!$G$649;2);PANGKAT(Normalisasi!$P$32-Konvergensi!$H$649;2));0);JIKA(F626=1;JUMLAH(PANGKAT(Normalisasi!$J$32-Konvergensi!$B$650;2);PANGKAT(Normalisasi!$K$32-Konvergensi!$C$650;2);PANGKAT(Normalisasi!$L$32-Konvergensi!$D$650;2);PANGKAT(Normalisasi!$M$32-Konvergensi!$E$650;2);PANGKAT(Normalisasi!$N$32-Konvergensi!$F$650;2);PANGKAT(Normalisasi!$O$32-Konvergensi!$G$650;2);PANGKAT(Normalisasi!$P$32-Konvergensi!$H$650;2));0);JIKA(F626=2;JUMLAH(PANGKAT(Normalisasi!$J$32-Konvergensi!$B$651;2);PANGKAT(Normalisasi!$K$32-Konvergensi!$C$651;2);PANGKAT(Normalisasi!$L$32-Konvergensi!$D$651;2);PANGKAT(Normalisasi!$M$32-Konvergensi!$E$651;2);PANGKAT(Normalisasi!$N$32-Konvergensi!$F$651;2);PANGKAT(Normalisasi!$O$32-Konvergensi!$G$651;2);PANGKAT(Normalisasi!$P$32-Konvergensi!$H$651;2));0))</f>
        <v/>
      </c>
      <c r="H626" t="n">
        <v>0</v>
      </c>
      <c r="I626" t="n">
        <v>5.379815542073412</v>
      </c>
    </row>
    <row r="627">
      <c r="A627">
        <f>Data_Awal!A33</f>
        <v/>
      </c>
      <c r="B627">
        <f>Data_Awal!B33</f>
        <v/>
      </c>
      <c r="C627">
        <f>AKAR(JUMLAH(PANGKAT(Normalisasi!$J$33-Konvergensi!$B$584;2);PANGKAT(Normalisasi!$K$33-Konvergensi!$C$584;2);PANGKAT(Normalisasi!$L$33-Konvergensi!$D$584;2);PANGKAT(Normalisasi!$M$33-Konvergensi!$E$584;2);PANGKAT(Normalisasi!$N$33-Konvergensi!$F$584;2);PANGKAT(Normalisasi!$O$33-Konvergensi!$G$584;2);PANGKAT(Normalisasi!$P$33-Konvergensi!$H$584;2)))</f>
        <v/>
      </c>
      <c r="D627">
        <f>AKAR(JUMLAH(PANGKAT(Normalisasi!$J$33-Konvergensi!$B$585;2);PANGKAT(Normalisasi!$K$33-Konvergensi!$C$585;2);PANGKAT(Normalisasi!$L$33-Konvergensi!$D$585;2);PANGKAT(Normalisasi!$M$33-Konvergensi!$E$585;2);PANGKAT(Normalisasi!$N$33-Konvergensi!$F$585;2);PANGKAT(Normalisasi!$O$33-Konvergensi!$G$585;2);PANGKAT(Normalisasi!$P$33-Konvergensi!$H$585;2)))</f>
        <v/>
      </c>
      <c r="E627">
        <f>AKAR(JUMLAH(PANGKAT(Normalisasi!$J$33-Konvergensi!$B$586;2);PANGKAT(Normalisasi!$K$33-Konvergensi!$C$586;2);PANGKAT(Normalisasi!$L$33-Konvergensi!$D$586;2);PANGKAT(Normalisasi!$M$33-Konvergensi!$E$586;2);PANGKAT(Normalisasi!$N$33-Konvergensi!$F$586;2);PANGKAT(Normalisasi!$O$33-Konvergensi!$G$586;2);PANGKAT(Normalisasi!$P$33-Konvergensi!$H$586;2)))</f>
        <v/>
      </c>
      <c r="F627">
        <f>JIKA(C627&lt;=D627;=JIKA(C627&lt;=E627;0;2);=JIKA(D627&lt;=E627;1;2))</f>
        <v/>
      </c>
      <c r="G627">
        <f>JUMLAH(JIKA(F627=0;JUMLAH(PANGKAT(Normalisasi!$J$33-Konvergensi!$B$649;2);PANGKAT(Normalisasi!$K$33-Konvergensi!$C$649;2);PANGKAT(Normalisasi!$L$33-Konvergensi!$D$649;2);PANGKAT(Normalisasi!$M$33-Konvergensi!$E$649;2);PANGKAT(Normalisasi!$N$33-Konvergensi!$F$649;2);PANGKAT(Normalisasi!$O$33-Konvergensi!$G$649;2);PANGKAT(Normalisasi!$P$33-Konvergensi!$H$649;2));0);JIKA(F627=1;JUMLAH(PANGKAT(Normalisasi!$J$33-Konvergensi!$B$650;2);PANGKAT(Normalisasi!$K$33-Konvergensi!$C$650;2);PANGKAT(Normalisasi!$L$33-Konvergensi!$D$650;2);PANGKAT(Normalisasi!$M$33-Konvergensi!$E$650;2);PANGKAT(Normalisasi!$N$33-Konvergensi!$F$650;2);PANGKAT(Normalisasi!$O$33-Konvergensi!$G$650;2);PANGKAT(Normalisasi!$P$33-Konvergensi!$H$650;2));0);JIKA(F627=2;JUMLAH(PANGKAT(Normalisasi!$J$33-Konvergensi!$B$651;2);PANGKAT(Normalisasi!$K$33-Konvergensi!$C$651;2);PANGKAT(Normalisasi!$L$33-Konvergensi!$D$651;2);PANGKAT(Normalisasi!$M$33-Konvergensi!$E$651;2);PANGKAT(Normalisasi!$N$33-Konvergensi!$F$651;2);PANGKAT(Normalisasi!$O$33-Konvergensi!$G$651;2);PANGKAT(Normalisasi!$P$33-Konvergensi!$H$651;2));0))</f>
        <v/>
      </c>
      <c r="H627" t="n">
        <v>0</v>
      </c>
      <c r="I627" t="n">
        <v>5.786360528693098</v>
      </c>
    </row>
    <row r="628">
      <c r="A628">
        <f>Data_Awal!A34</f>
        <v/>
      </c>
      <c r="B628">
        <f>Data_Awal!B34</f>
        <v/>
      </c>
      <c r="C628">
        <f>AKAR(JUMLAH(PANGKAT(Normalisasi!$J$34-Konvergensi!$B$584;2);PANGKAT(Normalisasi!$K$34-Konvergensi!$C$584;2);PANGKAT(Normalisasi!$L$34-Konvergensi!$D$584;2);PANGKAT(Normalisasi!$M$34-Konvergensi!$E$584;2);PANGKAT(Normalisasi!$N$34-Konvergensi!$F$584;2);PANGKAT(Normalisasi!$O$34-Konvergensi!$G$584;2);PANGKAT(Normalisasi!$P$34-Konvergensi!$H$584;2)))</f>
        <v/>
      </c>
      <c r="D628">
        <f>AKAR(JUMLAH(PANGKAT(Normalisasi!$J$34-Konvergensi!$B$585;2);PANGKAT(Normalisasi!$K$34-Konvergensi!$C$585;2);PANGKAT(Normalisasi!$L$34-Konvergensi!$D$585;2);PANGKAT(Normalisasi!$M$34-Konvergensi!$E$585;2);PANGKAT(Normalisasi!$N$34-Konvergensi!$F$585;2);PANGKAT(Normalisasi!$O$34-Konvergensi!$G$585;2);PANGKAT(Normalisasi!$P$34-Konvergensi!$H$585;2)))</f>
        <v/>
      </c>
      <c r="E628">
        <f>AKAR(JUMLAH(PANGKAT(Normalisasi!$J$34-Konvergensi!$B$586;2);PANGKAT(Normalisasi!$K$34-Konvergensi!$C$586;2);PANGKAT(Normalisasi!$L$34-Konvergensi!$D$586;2);PANGKAT(Normalisasi!$M$34-Konvergensi!$E$586;2);PANGKAT(Normalisasi!$N$34-Konvergensi!$F$586;2);PANGKAT(Normalisasi!$O$34-Konvergensi!$G$586;2);PANGKAT(Normalisasi!$P$34-Konvergensi!$H$586;2)))</f>
        <v/>
      </c>
      <c r="F628">
        <f>JIKA(C628&lt;=D628;=JIKA(C628&lt;=E628;0;2);=JIKA(D628&lt;=E628;1;2))</f>
        <v/>
      </c>
      <c r="G628">
        <f>JUMLAH(JIKA(F628=0;JUMLAH(PANGKAT(Normalisasi!$J$34-Konvergensi!$B$649;2);PANGKAT(Normalisasi!$K$34-Konvergensi!$C$649;2);PANGKAT(Normalisasi!$L$34-Konvergensi!$D$649;2);PANGKAT(Normalisasi!$M$34-Konvergensi!$E$649;2);PANGKAT(Normalisasi!$N$34-Konvergensi!$F$649;2);PANGKAT(Normalisasi!$O$34-Konvergensi!$G$649;2);PANGKAT(Normalisasi!$P$34-Konvergensi!$H$649;2));0);JIKA(F628=1;JUMLAH(PANGKAT(Normalisasi!$J$34-Konvergensi!$B$650;2);PANGKAT(Normalisasi!$K$34-Konvergensi!$C$650;2);PANGKAT(Normalisasi!$L$34-Konvergensi!$D$650;2);PANGKAT(Normalisasi!$M$34-Konvergensi!$E$650;2);PANGKAT(Normalisasi!$N$34-Konvergensi!$F$650;2);PANGKAT(Normalisasi!$O$34-Konvergensi!$G$650;2);PANGKAT(Normalisasi!$P$34-Konvergensi!$H$650;2));0);JIKA(F628=2;JUMLAH(PANGKAT(Normalisasi!$J$34-Konvergensi!$B$651;2);PANGKAT(Normalisasi!$K$34-Konvergensi!$C$651;2);PANGKAT(Normalisasi!$L$34-Konvergensi!$D$651;2);PANGKAT(Normalisasi!$M$34-Konvergensi!$E$651;2);PANGKAT(Normalisasi!$N$34-Konvergensi!$F$651;2);PANGKAT(Normalisasi!$O$34-Konvergensi!$G$651;2);PANGKAT(Normalisasi!$P$34-Konvergensi!$H$651;2));0))</f>
        <v/>
      </c>
      <c r="H628" t="n">
        <v>1</v>
      </c>
      <c r="I628" t="n">
        <v>1.796962155428233</v>
      </c>
    </row>
    <row r="629">
      <c r="A629">
        <f>Data_Awal!A35</f>
        <v/>
      </c>
      <c r="B629">
        <f>Data_Awal!B35</f>
        <v/>
      </c>
      <c r="C629">
        <f>AKAR(JUMLAH(PANGKAT(Normalisasi!$J$35-Konvergensi!$B$584;2);PANGKAT(Normalisasi!$K$35-Konvergensi!$C$584;2);PANGKAT(Normalisasi!$L$35-Konvergensi!$D$584;2);PANGKAT(Normalisasi!$M$35-Konvergensi!$E$584;2);PANGKAT(Normalisasi!$N$35-Konvergensi!$F$584;2);PANGKAT(Normalisasi!$O$35-Konvergensi!$G$584;2);PANGKAT(Normalisasi!$P$35-Konvergensi!$H$584;2)))</f>
        <v/>
      </c>
      <c r="D629">
        <f>AKAR(JUMLAH(PANGKAT(Normalisasi!$J$35-Konvergensi!$B$585;2);PANGKAT(Normalisasi!$K$35-Konvergensi!$C$585;2);PANGKAT(Normalisasi!$L$35-Konvergensi!$D$585;2);PANGKAT(Normalisasi!$M$35-Konvergensi!$E$585;2);PANGKAT(Normalisasi!$N$35-Konvergensi!$F$585;2);PANGKAT(Normalisasi!$O$35-Konvergensi!$G$585;2);PANGKAT(Normalisasi!$P$35-Konvergensi!$H$585;2)))</f>
        <v/>
      </c>
      <c r="E629">
        <f>AKAR(JUMLAH(PANGKAT(Normalisasi!$J$35-Konvergensi!$B$586;2);PANGKAT(Normalisasi!$K$35-Konvergensi!$C$586;2);PANGKAT(Normalisasi!$L$35-Konvergensi!$D$586;2);PANGKAT(Normalisasi!$M$35-Konvergensi!$E$586;2);PANGKAT(Normalisasi!$N$35-Konvergensi!$F$586;2);PANGKAT(Normalisasi!$O$35-Konvergensi!$G$586;2);PANGKAT(Normalisasi!$P$35-Konvergensi!$H$586;2)))</f>
        <v/>
      </c>
      <c r="F629">
        <f>JIKA(C629&lt;=D629;=JIKA(C629&lt;=E629;0;2);=JIKA(D629&lt;=E629;1;2))</f>
        <v/>
      </c>
      <c r="G629">
        <f>JUMLAH(JIKA(F629=0;JUMLAH(PANGKAT(Normalisasi!$J$35-Konvergensi!$B$649;2);PANGKAT(Normalisasi!$K$35-Konvergensi!$C$649;2);PANGKAT(Normalisasi!$L$35-Konvergensi!$D$649;2);PANGKAT(Normalisasi!$M$35-Konvergensi!$E$649;2);PANGKAT(Normalisasi!$N$35-Konvergensi!$F$649;2);PANGKAT(Normalisasi!$O$35-Konvergensi!$G$649;2);PANGKAT(Normalisasi!$P$35-Konvergensi!$H$649;2));0);JIKA(F629=1;JUMLAH(PANGKAT(Normalisasi!$J$35-Konvergensi!$B$650;2);PANGKAT(Normalisasi!$K$35-Konvergensi!$C$650;2);PANGKAT(Normalisasi!$L$35-Konvergensi!$D$650;2);PANGKAT(Normalisasi!$M$35-Konvergensi!$E$650;2);PANGKAT(Normalisasi!$N$35-Konvergensi!$F$650;2);PANGKAT(Normalisasi!$O$35-Konvergensi!$G$650;2);PANGKAT(Normalisasi!$P$35-Konvergensi!$H$650;2));0);JIKA(F629=2;JUMLAH(PANGKAT(Normalisasi!$J$35-Konvergensi!$B$651;2);PANGKAT(Normalisasi!$K$35-Konvergensi!$C$651;2);PANGKAT(Normalisasi!$L$35-Konvergensi!$D$651;2);PANGKAT(Normalisasi!$M$35-Konvergensi!$E$651;2);PANGKAT(Normalisasi!$N$35-Konvergensi!$F$651;2);PANGKAT(Normalisasi!$O$35-Konvergensi!$G$651;2);PANGKAT(Normalisasi!$P$35-Konvergensi!$H$651;2));0))</f>
        <v/>
      </c>
      <c r="H629" t="n">
        <v>0</v>
      </c>
      <c r="I629" t="n">
        <v>4.596909977941018</v>
      </c>
    </row>
    <row r="630">
      <c r="A630">
        <f>Data_Awal!A36</f>
        <v/>
      </c>
      <c r="B630">
        <f>Data_Awal!B36</f>
        <v/>
      </c>
      <c r="C630">
        <f>AKAR(JUMLAH(PANGKAT(Normalisasi!$J$36-Konvergensi!$B$584;2);PANGKAT(Normalisasi!$K$36-Konvergensi!$C$584;2);PANGKAT(Normalisasi!$L$36-Konvergensi!$D$584;2);PANGKAT(Normalisasi!$M$36-Konvergensi!$E$584;2);PANGKAT(Normalisasi!$N$36-Konvergensi!$F$584;2);PANGKAT(Normalisasi!$O$36-Konvergensi!$G$584;2);PANGKAT(Normalisasi!$P$36-Konvergensi!$H$584;2)))</f>
        <v/>
      </c>
      <c r="D630">
        <f>AKAR(JUMLAH(PANGKAT(Normalisasi!$J$36-Konvergensi!$B$585;2);PANGKAT(Normalisasi!$K$36-Konvergensi!$C$585;2);PANGKAT(Normalisasi!$L$36-Konvergensi!$D$585;2);PANGKAT(Normalisasi!$M$36-Konvergensi!$E$585;2);PANGKAT(Normalisasi!$N$36-Konvergensi!$F$585;2);PANGKAT(Normalisasi!$O$36-Konvergensi!$G$585;2);PANGKAT(Normalisasi!$P$36-Konvergensi!$H$585;2)))</f>
        <v/>
      </c>
      <c r="E630">
        <f>AKAR(JUMLAH(PANGKAT(Normalisasi!$J$36-Konvergensi!$B$586;2);PANGKAT(Normalisasi!$K$36-Konvergensi!$C$586;2);PANGKAT(Normalisasi!$L$36-Konvergensi!$D$586;2);PANGKAT(Normalisasi!$M$36-Konvergensi!$E$586;2);PANGKAT(Normalisasi!$N$36-Konvergensi!$F$586;2);PANGKAT(Normalisasi!$O$36-Konvergensi!$G$586;2);PANGKAT(Normalisasi!$P$36-Konvergensi!$H$586;2)))</f>
        <v/>
      </c>
      <c r="F630">
        <f>JIKA(C630&lt;=D630;=JIKA(C630&lt;=E630;0;2);=JIKA(D630&lt;=E630;1;2))</f>
        <v/>
      </c>
      <c r="G630">
        <f>JUMLAH(JIKA(F630=0;JUMLAH(PANGKAT(Normalisasi!$J$36-Konvergensi!$B$649;2);PANGKAT(Normalisasi!$K$36-Konvergensi!$C$649;2);PANGKAT(Normalisasi!$L$36-Konvergensi!$D$649;2);PANGKAT(Normalisasi!$M$36-Konvergensi!$E$649;2);PANGKAT(Normalisasi!$N$36-Konvergensi!$F$649;2);PANGKAT(Normalisasi!$O$36-Konvergensi!$G$649;2);PANGKAT(Normalisasi!$P$36-Konvergensi!$H$649;2));0);JIKA(F630=1;JUMLAH(PANGKAT(Normalisasi!$J$36-Konvergensi!$B$650;2);PANGKAT(Normalisasi!$K$36-Konvergensi!$C$650;2);PANGKAT(Normalisasi!$L$36-Konvergensi!$D$650;2);PANGKAT(Normalisasi!$M$36-Konvergensi!$E$650;2);PANGKAT(Normalisasi!$N$36-Konvergensi!$F$650;2);PANGKAT(Normalisasi!$O$36-Konvergensi!$G$650;2);PANGKAT(Normalisasi!$P$36-Konvergensi!$H$650;2));0);JIKA(F630=2;JUMLAH(PANGKAT(Normalisasi!$J$36-Konvergensi!$B$651;2);PANGKAT(Normalisasi!$K$36-Konvergensi!$C$651;2);PANGKAT(Normalisasi!$L$36-Konvergensi!$D$651;2);PANGKAT(Normalisasi!$M$36-Konvergensi!$E$651;2);PANGKAT(Normalisasi!$N$36-Konvergensi!$F$651;2);PANGKAT(Normalisasi!$O$36-Konvergensi!$G$651;2);PANGKAT(Normalisasi!$P$36-Konvergensi!$H$651;2));0))</f>
        <v/>
      </c>
      <c r="H630" t="n">
        <v>0</v>
      </c>
      <c r="I630" t="n">
        <v>4.545661235128462</v>
      </c>
    </row>
    <row r="631">
      <c r="A631">
        <f>Data_Awal!A37</f>
        <v/>
      </c>
      <c r="B631">
        <f>Data_Awal!B37</f>
        <v/>
      </c>
      <c r="C631">
        <f>AKAR(JUMLAH(PANGKAT(Normalisasi!$J$37-Konvergensi!$B$584;2);PANGKAT(Normalisasi!$K$37-Konvergensi!$C$584;2);PANGKAT(Normalisasi!$L$37-Konvergensi!$D$584;2);PANGKAT(Normalisasi!$M$37-Konvergensi!$E$584;2);PANGKAT(Normalisasi!$N$37-Konvergensi!$F$584;2);PANGKAT(Normalisasi!$O$37-Konvergensi!$G$584;2);PANGKAT(Normalisasi!$P$37-Konvergensi!$H$584;2)))</f>
        <v/>
      </c>
      <c r="D631">
        <f>AKAR(JUMLAH(PANGKAT(Normalisasi!$J$37-Konvergensi!$B$585;2);PANGKAT(Normalisasi!$K$37-Konvergensi!$C$585;2);PANGKAT(Normalisasi!$L$37-Konvergensi!$D$585;2);PANGKAT(Normalisasi!$M$37-Konvergensi!$E$585;2);PANGKAT(Normalisasi!$N$37-Konvergensi!$F$585;2);PANGKAT(Normalisasi!$O$37-Konvergensi!$G$585;2);PANGKAT(Normalisasi!$P$37-Konvergensi!$H$585;2)))</f>
        <v/>
      </c>
      <c r="E631">
        <f>AKAR(JUMLAH(PANGKAT(Normalisasi!$J$37-Konvergensi!$B$586;2);PANGKAT(Normalisasi!$K$37-Konvergensi!$C$586;2);PANGKAT(Normalisasi!$L$37-Konvergensi!$D$586;2);PANGKAT(Normalisasi!$M$37-Konvergensi!$E$586;2);PANGKAT(Normalisasi!$N$37-Konvergensi!$F$586;2);PANGKAT(Normalisasi!$O$37-Konvergensi!$G$586;2);PANGKAT(Normalisasi!$P$37-Konvergensi!$H$586;2)))</f>
        <v/>
      </c>
      <c r="F631">
        <f>JIKA(C631&lt;=D631;=JIKA(C631&lt;=E631;0;2);=JIKA(D631&lt;=E631;1;2))</f>
        <v/>
      </c>
      <c r="G631">
        <f>JUMLAH(JIKA(F631=0;JUMLAH(PANGKAT(Normalisasi!$J$37-Konvergensi!$B$649;2);PANGKAT(Normalisasi!$K$37-Konvergensi!$C$649;2);PANGKAT(Normalisasi!$L$37-Konvergensi!$D$649;2);PANGKAT(Normalisasi!$M$37-Konvergensi!$E$649;2);PANGKAT(Normalisasi!$N$37-Konvergensi!$F$649;2);PANGKAT(Normalisasi!$O$37-Konvergensi!$G$649;2);PANGKAT(Normalisasi!$P$37-Konvergensi!$H$649;2));0);JIKA(F631=1;JUMLAH(PANGKAT(Normalisasi!$J$37-Konvergensi!$B$650;2);PANGKAT(Normalisasi!$K$37-Konvergensi!$C$650;2);PANGKAT(Normalisasi!$L$37-Konvergensi!$D$650;2);PANGKAT(Normalisasi!$M$37-Konvergensi!$E$650;2);PANGKAT(Normalisasi!$N$37-Konvergensi!$F$650;2);PANGKAT(Normalisasi!$O$37-Konvergensi!$G$650;2);PANGKAT(Normalisasi!$P$37-Konvergensi!$H$650;2));0);JIKA(F631=2;JUMLAH(PANGKAT(Normalisasi!$J$37-Konvergensi!$B$651;2);PANGKAT(Normalisasi!$K$37-Konvergensi!$C$651;2);PANGKAT(Normalisasi!$L$37-Konvergensi!$D$651;2);PANGKAT(Normalisasi!$M$37-Konvergensi!$E$651;2);PANGKAT(Normalisasi!$N$37-Konvergensi!$F$651;2);PANGKAT(Normalisasi!$O$37-Konvergensi!$G$651;2);PANGKAT(Normalisasi!$P$37-Konvergensi!$H$651;2));0))</f>
        <v/>
      </c>
      <c r="H631" t="n">
        <v>2</v>
      </c>
      <c r="I631" t="n">
        <v>5.970278999693795</v>
      </c>
    </row>
    <row r="632">
      <c r="A632">
        <f>Data_Awal!A38</f>
        <v/>
      </c>
      <c r="B632">
        <f>Data_Awal!B38</f>
        <v/>
      </c>
      <c r="C632">
        <f>AKAR(JUMLAH(PANGKAT(Normalisasi!$J$38-Konvergensi!$B$584;2);PANGKAT(Normalisasi!$K$38-Konvergensi!$C$584;2);PANGKAT(Normalisasi!$L$38-Konvergensi!$D$584;2);PANGKAT(Normalisasi!$M$38-Konvergensi!$E$584;2);PANGKAT(Normalisasi!$N$38-Konvergensi!$F$584;2);PANGKAT(Normalisasi!$O$38-Konvergensi!$G$584;2);PANGKAT(Normalisasi!$P$38-Konvergensi!$H$584;2)))</f>
        <v/>
      </c>
      <c r="D632">
        <f>AKAR(JUMLAH(PANGKAT(Normalisasi!$J$38-Konvergensi!$B$585;2);PANGKAT(Normalisasi!$K$38-Konvergensi!$C$585;2);PANGKAT(Normalisasi!$L$38-Konvergensi!$D$585;2);PANGKAT(Normalisasi!$M$38-Konvergensi!$E$585;2);PANGKAT(Normalisasi!$N$38-Konvergensi!$F$585;2);PANGKAT(Normalisasi!$O$38-Konvergensi!$G$585;2);PANGKAT(Normalisasi!$P$38-Konvergensi!$H$585;2)))</f>
        <v/>
      </c>
      <c r="E632">
        <f>AKAR(JUMLAH(PANGKAT(Normalisasi!$J$38-Konvergensi!$B$586;2);PANGKAT(Normalisasi!$K$38-Konvergensi!$C$586;2);PANGKAT(Normalisasi!$L$38-Konvergensi!$D$586;2);PANGKAT(Normalisasi!$M$38-Konvergensi!$E$586;2);PANGKAT(Normalisasi!$N$38-Konvergensi!$F$586;2);PANGKAT(Normalisasi!$O$38-Konvergensi!$G$586;2);PANGKAT(Normalisasi!$P$38-Konvergensi!$H$586;2)))</f>
        <v/>
      </c>
      <c r="F632">
        <f>JIKA(C632&lt;=D632;=JIKA(C632&lt;=E632;0;2);=JIKA(D632&lt;=E632;1;2))</f>
        <v/>
      </c>
      <c r="G632">
        <f>JUMLAH(JIKA(F632=0;JUMLAH(PANGKAT(Normalisasi!$J$38-Konvergensi!$B$649;2);PANGKAT(Normalisasi!$K$38-Konvergensi!$C$649;2);PANGKAT(Normalisasi!$L$38-Konvergensi!$D$649;2);PANGKAT(Normalisasi!$M$38-Konvergensi!$E$649;2);PANGKAT(Normalisasi!$N$38-Konvergensi!$F$649;2);PANGKAT(Normalisasi!$O$38-Konvergensi!$G$649;2);PANGKAT(Normalisasi!$P$38-Konvergensi!$H$649;2));0);JIKA(F632=1;JUMLAH(PANGKAT(Normalisasi!$J$38-Konvergensi!$B$650;2);PANGKAT(Normalisasi!$K$38-Konvergensi!$C$650;2);PANGKAT(Normalisasi!$L$38-Konvergensi!$D$650;2);PANGKAT(Normalisasi!$M$38-Konvergensi!$E$650;2);PANGKAT(Normalisasi!$N$38-Konvergensi!$F$650;2);PANGKAT(Normalisasi!$O$38-Konvergensi!$G$650;2);PANGKAT(Normalisasi!$P$38-Konvergensi!$H$650;2));0);JIKA(F632=2;JUMLAH(PANGKAT(Normalisasi!$J$38-Konvergensi!$B$651;2);PANGKAT(Normalisasi!$K$38-Konvergensi!$C$651;2);PANGKAT(Normalisasi!$L$38-Konvergensi!$D$651;2);PANGKAT(Normalisasi!$M$38-Konvergensi!$E$651;2);PANGKAT(Normalisasi!$N$38-Konvergensi!$F$651;2);PANGKAT(Normalisasi!$O$38-Konvergensi!$G$651;2);PANGKAT(Normalisasi!$P$38-Konvergensi!$H$651;2));0))</f>
        <v/>
      </c>
      <c r="H632" t="n">
        <v>1</v>
      </c>
      <c r="I632" t="n">
        <v>4.046573155424091</v>
      </c>
    </row>
    <row r="633">
      <c r="A633">
        <f>Data_Awal!A39</f>
        <v/>
      </c>
      <c r="B633">
        <f>Data_Awal!B39</f>
        <v/>
      </c>
      <c r="C633">
        <f>AKAR(JUMLAH(PANGKAT(Normalisasi!$J$39-Konvergensi!$B$584;2);PANGKAT(Normalisasi!$K$39-Konvergensi!$C$584;2);PANGKAT(Normalisasi!$L$39-Konvergensi!$D$584;2);PANGKAT(Normalisasi!$M$39-Konvergensi!$E$584;2);PANGKAT(Normalisasi!$N$39-Konvergensi!$F$584;2);PANGKAT(Normalisasi!$O$39-Konvergensi!$G$584;2);PANGKAT(Normalisasi!$P$39-Konvergensi!$H$584;2)))</f>
        <v/>
      </c>
      <c r="D633">
        <f>AKAR(JUMLAH(PANGKAT(Normalisasi!$J$39-Konvergensi!$B$585;2);PANGKAT(Normalisasi!$K$39-Konvergensi!$C$585;2);PANGKAT(Normalisasi!$L$39-Konvergensi!$D$585;2);PANGKAT(Normalisasi!$M$39-Konvergensi!$E$585;2);PANGKAT(Normalisasi!$N$39-Konvergensi!$F$585;2);PANGKAT(Normalisasi!$O$39-Konvergensi!$G$585;2);PANGKAT(Normalisasi!$P$39-Konvergensi!$H$585;2)))</f>
        <v/>
      </c>
      <c r="E633">
        <f>AKAR(JUMLAH(PANGKAT(Normalisasi!$J$39-Konvergensi!$B$586;2);PANGKAT(Normalisasi!$K$39-Konvergensi!$C$586;2);PANGKAT(Normalisasi!$L$39-Konvergensi!$D$586;2);PANGKAT(Normalisasi!$M$39-Konvergensi!$E$586;2);PANGKAT(Normalisasi!$N$39-Konvergensi!$F$586;2);PANGKAT(Normalisasi!$O$39-Konvergensi!$G$586;2);PANGKAT(Normalisasi!$P$39-Konvergensi!$H$586;2)))</f>
        <v/>
      </c>
      <c r="F633">
        <f>JIKA(C633&lt;=D633;=JIKA(C633&lt;=E633;0;2);=JIKA(D633&lt;=E633;1;2))</f>
        <v/>
      </c>
      <c r="G633">
        <f>JUMLAH(JIKA(F633=0;JUMLAH(PANGKAT(Normalisasi!$J$39-Konvergensi!$B$649;2);PANGKAT(Normalisasi!$K$39-Konvergensi!$C$649;2);PANGKAT(Normalisasi!$L$39-Konvergensi!$D$649;2);PANGKAT(Normalisasi!$M$39-Konvergensi!$E$649;2);PANGKAT(Normalisasi!$N$39-Konvergensi!$F$649;2);PANGKAT(Normalisasi!$O$39-Konvergensi!$G$649;2);PANGKAT(Normalisasi!$P$39-Konvergensi!$H$649;2));0);JIKA(F633=1;JUMLAH(PANGKAT(Normalisasi!$J$39-Konvergensi!$B$650;2);PANGKAT(Normalisasi!$K$39-Konvergensi!$C$650;2);PANGKAT(Normalisasi!$L$39-Konvergensi!$D$650;2);PANGKAT(Normalisasi!$M$39-Konvergensi!$E$650;2);PANGKAT(Normalisasi!$N$39-Konvergensi!$F$650;2);PANGKAT(Normalisasi!$O$39-Konvergensi!$G$650;2);PANGKAT(Normalisasi!$P$39-Konvergensi!$H$650;2));0);JIKA(F633=2;JUMLAH(PANGKAT(Normalisasi!$J$39-Konvergensi!$B$651;2);PANGKAT(Normalisasi!$K$39-Konvergensi!$C$651;2);PANGKAT(Normalisasi!$L$39-Konvergensi!$D$651;2);PANGKAT(Normalisasi!$M$39-Konvergensi!$E$651;2);PANGKAT(Normalisasi!$N$39-Konvergensi!$F$651;2);PANGKAT(Normalisasi!$O$39-Konvergensi!$G$651;2);PANGKAT(Normalisasi!$P$39-Konvergensi!$H$651;2));0))</f>
        <v/>
      </c>
      <c r="H633" t="n">
        <v>0</v>
      </c>
      <c r="I633" t="n">
        <v>10.55351978764189</v>
      </c>
    </row>
    <row r="634">
      <c r="A634">
        <f>Data_Awal!A40</f>
        <v/>
      </c>
      <c r="B634">
        <f>Data_Awal!B40</f>
        <v/>
      </c>
      <c r="C634">
        <f>AKAR(JUMLAH(PANGKAT(Normalisasi!$J$40-Konvergensi!$B$584;2);PANGKAT(Normalisasi!$K$40-Konvergensi!$C$584;2);PANGKAT(Normalisasi!$L$40-Konvergensi!$D$584;2);PANGKAT(Normalisasi!$M$40-Konvergensi!$E$584;2);PANGKAT(Normalisasi!$N$40-Konvergensi!$F$584;2);PANGKAT(Normalisasi!$O$40-Konvergensi!$G$584;2);PANGKAT(Normalisasi!$P$40-Konvergensi!$H$584;2)))</f>
        <v/>
      </c>
      <c r="D634">
        <f>AKAR(JUMLAH(PANGKAT(Normalisasi!$J$40-Konvergensi!$B$585;2);PANGKAT(Normalisasi!$K$40-Konvergensi!$C$585;2);PANGKAT(Normalisasi!$L$40-Konvergensi!$D$585;2);PANGKAT(Normalisasi!$M$40-Konvergensi!$E$585;2);PANGKAT(Normalisasi!$N$40-Konvergensi!$F$585;2);PANGKAT(Normalisasi!$O$40-Konvergensi!$G$585;2);PANGKAT(Normalisasi!$P$40-Konvergensi!$H$585;2)))</f>
        <v/>
      </c>
      <c r="E634">
        <f>AKAR(JUMLAH(PANGKAT(Normalisasi!$J$40-Konvergensi!$B$586;2);PANGKAT(Normalisasi!$K$40-Konvergensi!$C$586;2);PANGKAT(Normalisasi!$L$40-Konvergensi!$D$586;2);PANGKAT(Normalisasi!$M$40-Konvergensi!$E$586;2);PANGKAT(Normalisasi!$N$40-Konvergensi!$F$586;2);PANGKAT(Normalisasi!$O$40-Konvergensi!$G$586;2);PANGKAT(Normalisasi!$P$40-Konvergensi!$H$586;2)))</f>
        <v/>
      </c>
      <c r="F634">
        <f>JIKA(C634&lt;=D634;=JIKA(C634&lt;=E634;0;2);=JIKA(D634&lt;=E634;1;2))</f>
        <v/>
      </c>
      <c r="G634">
        <f>JUMLAH(JIKA(F634=0;JUMLAH(PANGKAT(Normalisasi!$J$40-Konvergensi!$B$649;2);PANGKAT(Normalisasi!$K$40-Konvergensi!$C$649;2);PANGKAT(Normalisasi!$L$40-Konvergensi!$D$649;2);PANGKAT(Normalisasi!$M$40-Konvergensi!$E$649;2);PANGKAT(Normalisasi!$N$40-Konvergensi!$F$649;2);PANGKAT(Normalisasi!$O$40-Konvergensi!$G$649;2);PANGKAT(Normalisasi!$P$40-Konvergensi!$H$649;2));0);JIKA(F634=1;JUMLAH(PANGKAT(Normalisasi!$J$40-Konvergensi!$B$650;2);PANGKAT(Normalisasi!$K$40-Konvergensi!$C$650;2);PANGKAT(Normalisasi!$L$40-Konvergensi!$D$650;2);PANGKAT(Normalisasi!$M$40-Konvergensi!$E$650;2);PANGKAT(Normalisasi!$N$40-Konvergensi!$F$650;2);PANGKAT(Normalisasi!$O$40-Konvergensi!$G$650;2);PANGKAT(Normalisasi!$P$40-Konvergensi!$H$650;2));0);JIKA(F634=2;JUMLAH(PANGKAT(Normalisasi!$J$40-Konvergensi!$B$651;2);PANGKAT(Normalisasi!$K$40-Konvergensi!$C$651;2);PANGKAT(Normalisasi!$L$40-Konvergensi!$D$651;2);PANGKAT(Normalisasi!$M$40-Konvergensi!$E$651;2);PANGKAT(Normalisasi!$N$40-Konvergensi!$F$651;2);PANGKAT(Normalisasi!$O$40-Konvergensi!$G$651;2);PANGKAT(Normalisasi!$P$40-Konvergensi!$H$651;2));0))</f>
        <v/>
      </c>
      <c r="H634" t="n">
        <v>1</v>
      </c>
      <c r="I634" t="n">
        <v>4.741221600312443</v>
      </c>
    </row>
    <row r="635">
      <c r="A635">
        <f>Data_Awal!A41</f>
        <v/>
      </c>
      <c r="B635">
        <f>Data_Awal!B41</f>
        <v/>
      </c>
      <c r="C635">
        <f>AKAR(JUMLAH(PANGKAT(Normalisasi!$J$41-Konvergensi!$B$584;2);PANGKAT(Normalisasi!$K$41-Konvergensi!$C$584;2);PANGKAT(Normalisasi!$L$41-Konvergensi!$D$584;2);PANGKAT(Normalisasi!$M$41-Konvergensi!$E$584;2);PANGKAT(Normalisasi!$N$41-Konvergensi!$F$584;2);PANGKAT(Normalisasi!$O$41-Konvergensi!$G$584;2);PANGKAT(Normalisasi!$P$41-Konvergensi!$H$584;2)))</f>
        <v/>
      </c>
      <c r="D635">
        <f>AKAR(JUMLAH(PANGKAT(Normalisasi!$J$41-Konvergensi!$B$585;2);PANGKAT(Normalisasi!$K$41-Konvergensi!$C$585;2);PANGKAT(Normalisasi!$L$41-Konvergensi!$D$585;2);PANGKAT(Normalisasi!$M$41-Konvergensi!$E$585;2);PANGKAT(Normalisasi!$N$41-Konvergensi!$F$585;2);PANGKAT(Normalisasi!$O$41-Konvergensi!$G$585;2);PANGKAT(Normalisasi!$P$41-Konvergensi!$H$585;2)))</f>
        <v/>
      </c>
      <c r="E635">
        <f>AKAR(JUMLAH(PANGKAT(Normalisasi!$J$41-Konvergensi!$B$586;2);PANGKAT(Normalisasi!$K$41-Konvergensi!$C$586;2);PANGKAT(Normalisasi!$L$41-Konvergensi!$D$586;2);PANGKAT(Normalisasi!$M$41-Konvergensi!$E$586;2);PANGKAT(Normalisasi!$N$41-Konvergensi!$F$586;2);PANGKAT(Normalisasi!$O$41-Konvergensi!$G$586;2);PANGKAT(Normalisasi!$P$41-Konvergensi!$H$586;2)))</f>
        <v/>
      </c>
      <c r="F635">
        <f>JIKA(C635&lt;=D635;=JIKA(C635&lt;=E635;0;2);=JIKA(D635&lt;=E635;1;2))</f>
        <v/>
      </c>
      <c r="G635">
        <f>JUMLAH(JIKA(F635=0;JUMLAH(PANGKAT(Normalisasi!$J$41-Konvergensi!$B$649;2);PANGKAT(Normalisasi!$K$41-Konvergensi!$C$649;2);PANGKAT(Normalisasi!$L$41-Konvergensi!$D$649;2);PANGKAT(Normalisasi!$M$41-Konvergensi!$E$649;2);PANGKAT(Normalisasi!$N$41-Konvergensi!$F$649;2);PANGKAT(Normalisasi!$O$41-Konvergensi!$G$649;2);PANGKAT(Normalisasi!$P$41-Konvergensi!$H$649;2));0);JIKA(F635=1;JUMLAH(PANGKAT(Normalisasi!$J$41-Konvergensi!$B$650;2);PANGKAT(Normalisasi!$K$41-Konvergensi!$C$650;2);PANGKAT(Normalisasi!$L$41-Konvergensi!$D$650;2);PANGKAT(Normalisasi!$M$41-Konvergensi!$E$650;2);PANGKAT(Normalisasi!$N$41-Konvergensi!$F$650;2);PANGKAT(Normalisasi!$O$41-Konvergensi!$G$650;2);PANGKAT(Normalisasi!$P$41-Konvergensi!$H$650;2));0);JIKA(F635=2;JUMLAH(PANGKAT(Normalisasi!$J$41-Konvergensi!$B$651;2);PANGKAT(Normalisasi!$K$41-Konvergensi!$C$651;2);PANGKAT(Normalisasi!$L$41-Konvergensi!$D$651;2);PANGKAT(Normalisasi!$M$41-Konvergensi!$E$651;2);PANGKAT(Normalisasi!$N$41-Konvergensi!$F$651;2);PANGKAT(Normalisasi!$O$41-Konvergensi!$G$651;2);PANGKAT(Normalisasi!$P$41-Konvergensi!$H$651;2));0))</f>
        <v/>
      </c>
      <c r="H635" t="n">
        <v>1</v>
      </c>
      <c r="I635" t="n">
        <v>7.305191963054995</v>
      </c>
    </row>
    <row r="636">
      <c r="A636">
        <f>Data_Awal!A42</f>
        <v/>
      </c>
      <c r="B636">
        <f>Data_Awal!B42</f>
        <v/>
      </c>
      <c r="C636">
        <f>AKAR(JUMLAH(PANGKAT(Normalisasi!$J$42-Konvergensi!$B$584;2);PANGKAT(Normalisasi!$K$42-Konvergensi!$C$584;2);PANGKAT(Normalisasi!$L$42-Konvergensi!$D$584;2);PANGKAT(Normalisasi!$M$42-Konvergensi!$E$584;2);PANGKAT(Normalisasi!$N$42-Konvergensi!$F$584;2);PANGKAT(Normalisasi!$O$42-Konvergensi!$G$584;2);PANGKAT(Normalisasi!$P$42-Konvergensi!$H$584;2)))</f>
        <v/>
      </c>
      <c r="D636">
        <f>AKAR(JUMLAH(PANGKAT(Normalisasi!$J$42-Konvergensi!$B$585;2);PANGKAT(Normalisasi!$K$42-Konvergensi!$C$585;2);PANGKAT(Normalisasi!$L$42-Konvergensi!$D$585;2);PANGKAT(Normalisasi!$M$42-Konvergensi!$E$585;2);PANGKAT(Normalisasi!$N$42-Konvergensi!$F$585;2);PANGKAT(Normalisasi!$O$42-Konvergensi!$G$585;2);PANGKAT(Normalisasi!$P$42-Konvergensi!$H$585;2)))</f>
        <v/>
      </c>
      <c r="E636">
        <f>AKAR(JUMLAH(PANGKAT(Normalisasi!$J$42-Konvergensi!$B$586;2);PANGKAT(Normalisasi!$K$42-Konvergensi!$C$586;2);PANGKAT(Normalisasi!$L$42-Konvergensi!$D$586;2);PANGKAT(Normalisasi!$M$42-Konvergensi!$E$586;2);PANGKAT(Normalisasi!$N$42-Konvergensi!$F$586;2);PANGKAT(Normalisasi!$O$42-Konvergensi!$G$586;2);PANGKAT(Normalisasi!$P$42-Konvergensi!$H$586;2)))</f>
        <v/>
      </c>
      <c r="F636">
        <f>JIKA(C636&lt;=D636;=JIKA(C636&lt;=E636;0;2);=JIKA(D636&lt;=E636;1;2))</f>
        <v/>
      </c>
      <c r="G636">
        <f>JUMLAH(JIKA(F636=0;JUMLAH(PANGKAT(Normalisasi!$J$42-Konvergensi!$B$649;2);PANGKAT(Normalisasi!$K$42-Konvergensi!$C$649;2);PANGKAT(Normalisasi!$L$42-Konvergensi!$D$649;2);PANGKAT(Normalisasi!$M$42-Konvergensi!$E$649;2);PANGKAT(Normalisasi!$N$42-Konvergensi!$F$649;2);PANGKAT(Normalisasi!$O$42-Konvergensi!$G$649;2);PANGKAT(Normalisasi!$P$42-Konvergensi!$H$649;2));0);JIKA(F636=1;JUMLAH(PANGKAT(Normalisasi!$J$42-Konvergensi!$B$650;2);PANGKAT(Normalisasi!$K$42-Konvergensi!$C$650;2);PANGKAT(Normalisasi!$L$42-Konvergensi!$D$650;2);PANGKAT(Normalisasi!$M$42-Konvergensi!$E$650;2);PANGKAT(Normalisasi!$N$42-Konvergensi!$F$650;2);PANGKAT(Normalisasi!$O$42-Konvergensi!$G$650;2);PANGKAT(Normalisasi!$P$42-Konvergensi!$H$650;2));0);JIKA(F636=2;JUMLAH(PANGKAT(Normalisasi!$J$42-Konvergensi!$B$651;2);PANGKAT(Normalisasi!$K$42-Konvergensi!$C$651;2);PANGKAT(Normalisasi!$L$42-Konvergensi!$D$651;2);PANGKAT(Normalisasi!$M$42-Konvergensi!$E$651;2);PANGKAT(Normalisasi!$N$42-Konvergensi!$F$651;2);PANGKAT(Normalisasi!$O$42-Konvergensi!$G$651;2);PANGKAT(Normalisasi!$P$42-Konvergensi!$H$651;2));0))</f>
        <v/>
      </c>
      <c r="H636" t="n">
        <v>2</v>
      </c>
      <c r="I636" t="n">
        <v>2.144323817449085</v>
      </c>
    </row>
    <row r="637">
      <c r="A637">
        <f>Data_Awal!A43</f>
        <v/>
      </c>
      <c r="B637">
        <f>Data_Awal!B43</f>
        <v/>
      </c>
      <c r="C637">
        <f>AKAR(JUMLAH(PANGKAT(Normalisasi!$J$43-Konvergensi!$B$584;2);PANGKAT(Normalisasi!$K$43-Konvergensi!$C$584;2);PANGKAT(Normalisasi!$L$43-Konvergensi!$D$584;2);PANGKAT(Normalisasi!$M$43-Konvergensi!$E$584;2);PANGKAT(Normalisasi!$N$43-Konvergensi!$F$584;2);PANGKAT(Normalisasi!$O$43-Konvergensi!$G$584;2);PANGKAT(Normalisasi!$P$43-Konvergensi!$H$584;2)))</f>
        <v/>
      </c>
      <c r="D637">
        <f>AKAR(JUMLAH(PANGKAT(Normalisasi!$J$43-Konvergensi!$B$585;2);PANGKAT(Normalisasi!$K$43-Konvergensi!$C$585;2);PANGKAT(Normalisasi!$L$43-Konvergensi!$D$585;2);PANGKAT(Normalisasi!$M$43-Konvergensi!$E$585;2);PANGKAT(Normalisasi!$N$43-Konvergensi!$F$585;2);PANGKAT(Normalisasi!$O$43-Konvergensi!$G$585;2);PANGKAT(Normalisasi!$P$43-Konvergensi!$H$585;2)))</f>
        <v/>
      </c>
      <c r="E637">
        <f>AKAR(JUMLAH(PANGKAT(Normalisasi!$J$43-Konvergensi!$B$586;2);PANGKAT(Normalisasi!$K$43-Konvergensi!$C$586;2);PANGKAT(Normalisasi!$L$43-Konvergensi!$D$586;2);PANGKAT(Normalisasi!$M$43-Konvergensi!$E$586;2);PANGKAT(Normalisasi!$N$43-Konvergensi!$F$586;2);PANGKAT(Normalisasi!$O$43-Konvergensi!$G$586;2);PANGKAT(Normalisasi!$P$43-Konvergensi!$H$586;2)))</f>
        <v/>
      </c>
      <c r="F637">
        <f>JIKA(C637&lt;=D637;=JIKA(C637&lt;=E637;0;2);=JIKA(D637&lt;=E637;1;2))</f>
        <v/>
      </c>
      <c r="G637">
        <f>JUMLAH(JIKA(F637=0;JUMLAH(PANGKAT(Normalisasi!$J$43-Konvergensi!$B$649;2);PANGKAT(Normalisasi!$K$43-Konvergensi!$C$649;2);PANGKAT(Normalisasi!$L$43-Konvergensi!$D$649;2);PANGKAT(Normalisasi!$M$43-Konvergensi!$E$649;2);PANGKAT(Normalisasi!$N$43-Konvergensi!$F$649;2);PANGKAT(Normalisasi!$O$43-Konvergensi!$G$649;2);PANGKAT(Normalisasi!$P$43-Konvergensi!$H$649;2));0);JIKA(F637=1;JUMLAH(PANGKAT(Normalisasi!$J$43-Konvergensi!$B$650;2);PANGKAT(Normalisasi!$K$43-Konvergensi!$C$650;2);PANGKAT(Normalisasi!$L$43-Konvergensi!$D$650;2);PANGKAT(Normalisasi!$M$43-Konvergensi!$E$650;2);PANGKAT(Normalisasi!$N$43-Konvergensi!$F$650;2);PANGKAT(Normalisasi!$O$43-Konvergensi!$G$650;2);PANGKAT(Normalisasi!$P$43-Konvergensi!$H$650;2));0);JIKA(F637=2;JUMLAH(PANGKAT(Normalisasi!$J$43-Konvergensi!$B$651;2);PANGKAT(Normalisasi!$K$43-Konvergensi!$C$651;2);PANGKAT(Normalisasi!$L$43-Konvergensi!$D$651;2);PANGKAT(Normalisasi!$M$43-Konvergensi!$E$651;2);PANGKAT(Normalisasi!$N$43-Konvergensi!$F$651;2);PANGKAT(Normalisasi!$O$43-Konvergensi!$G$651;2);PANGKAT(Normalisasi!$P$43-Konvergensi!$H$651;2));0))</f>
        <v/>
      </c>
      <c r="H637" t="n">
        <v>2</v>
      </c>
      <c r="I637" t="n">
        <v>6.848493226205151</v>
      </c>
    </row>
    <row r="638">
      <c r="A638">
        <f>Data_Awal!A44</f>
        <v/>
      </c>
      <c r="B638">
        <f>Data_Awal!B44</f>
        <v/>
      </c>
      <c r="C638">
        <f>AKAR(JUMLAH(PANGKAT(Normalisasi!$J$44-Konvergensi!$B$584;2);PANGKAT(Normalisasi!$K$44-Konvergensi!$C$584;2);PANGKAT(Normalisasi!$L$44-Konvergensi!$D$584;2);PANGKAT(Normalisasi!$M$44-Konvergensi!$E$584;2);PANGKAT(Normalisasi!$N$44-Konvergensi!$F$584;2);PANGKAT(Normalisasi!$O$44-Konvergensi!$G$584;2);PANGKAT(Normalisasi!$P$44-Konvergensi!$H$584;2)))</f>
        <v/>
      </c>
      <c r="D638">
        <f>AKAR(JUMLAH(PANGKAT(Normalisasi!$J$44-Konvergensi!$B$585;2);PANGKAT(Normalisasi!$K$44-Konvergensi!$C$585;2);PANGKAT(Normalisasi!$L$44-Konvergensi!$D$585;2);PANGKAT(Normalisasi!$M$44-Konvergensi!$E$585;2);PANGKAT(Normalisasi!$N$44-Konvergensi!$F$585;2);PANGKAT(Normalisasi!$O$44-Konvergensi!$G$585;2);PANGKAT(Normalisasi!$P$44-Konvergensi!$H$585;2)))</f>
        <v/>
      </c>
      <c r="E638">
        <f>AKAR(JUMLAH(PANGKAT(Normalisasi!$J$44-Konvergensi!$B$586;2);PANGKAT(Normalisasi!$K$44-Konvergensi!$C$586;2);PANGKAT(Normalisasi!$L$44-Konvergensi!$D$586;2);PANGKAT(Normalisasi!$M$44-Konvergensi!$E$586;2);PANGKAT(Normalisasi!$N$44-Konvergensi!$F$586;2);PANGKAT(Normalisasi!$O$44-Konvergensi!$G$586;2);PANGKAT(Normalisasi!$P$44-Konvergensi!$H$586;2)))</f>
        <v/>
      </c>
      <c r="F638">
        <f>JIKA(C638&lt;=D638;=JIKA(C638&lt;=E638;0;2);=JIKA(D638&lt;=E638;1;2))</f>
        <v/>
      </c>
      <c r="G638">
        <f>JUMLAH(JIKA(F638=0;JUMLAH(PANGKAT(Normalisasi!$J$44-Konvergensi!$B$649;2);PANGKAT(Normalisasi!$K$44-Konvergensi!$C$649;2);PANGKAT(Normalisasi!$L$44-Konvergensi!$D$649;2);PANGKAT(Normalisasi!$M$44-Konvergensi!$E$649;2);PANGKAT(Normalisasi!$N$44-Konvergensi!$F$649;2);PANGKAT(Normalisasi!$O$44-Konvergensi!$G$649;2);PANGKAT(Normalisasi!$P$44-Konvergensi!$H$649;2));0);JIKA(F638=1;JUMLAH(PANGKAT(Normalisasi!$J$44-Konvergensi!$B$650;2);PANGKAT(Normalisasi!$K$44-Konvergensi!$C$650;2);PANGKAT(Normalisasi!$L$44-Konvergensi!$D$650;2);PANGKAT(Normalisasi!$M$44-Konvergensi!$E$650;2);PANGKAT(Normalisasi!$N$44-Konvergensi!$F$650;2);PANGKAT(Normalisasi!$O$44-Konvergensi!$G$650;2);PANGKAT(Normalisasi!$P$44-Konvergensi!$H$650;2));0);JIKA(F638=2;JUMLAH(PANGKAT(Normalisasi!$J$44-Konvergensi!$B$651;2);PANGKAT(Normalisasi!$K$44-Konvergensi!$C$651;2);PANGKAT(Normalisasi!$L$44-Konvergensi!$D$651;2);PANGKAT(Normalisasi!$M$44-Konvergensi!$E$651;2);PANGKAT(Normalisasi!$N$44-Konvergensi!$F$651;2);PANGKAT(Normalisasi!$O$44-Konvergensi!$G$651;2);PANGKAT(Normalisasi!$P$44-Konvergensi!$H$651;2));0))</f>
        <v/>
      </c>
      <c r="H638" t="n">
        <v>2</v>
      </c>
      <c r="I638" t="n">
        <v>2.273099768392233</v>
      </c>
    </row>
    <row r="639">
      <c r="A639">
        <f>Data_Awal!A45</f>
        <v/>
      </c>
      <c r="B639">
        <f>Data_Awal!B45</f>
        <v/>
      </c>
      <c r="C639">
        <f>AKAR(JUMLAH(PANGKAT(Normalisasi!$J$45-Konvergensi!$B$584;2);PANGKAT(Normalisasi!$K$45-Konvergensi!$C$584;2);PANGKAT(Normalisasi!$L$45-Konvergensi!$D$584;2);PANGKAT(Normalisasi!$M$45-Konvergensi!$E$584;2);PANGKAT(Normalisasi!$N$45-Konvergensi!$F$584;2);PANGKAT(Normalisasi!$O$45-Konvergensi!$G$584;2);PANGKAT(Normalisasi!$P$45-Konvergensi!$H$584;2)))</f>
        <v/>
      </c>
      <c r="D639">
        <f>AKAR(JUMLAH(PANGKAT(Normalisasi!$J$45-Konvergensi!$B$585;2);PANGKAT(Normalisasi!$K$45-Konvergensi!$C$585;2);PANGKAT(Normalisasi!$L$45-Konvergensi!$D$585;2);PANGKAT(Normalisasi!$M$45-Konvergensi!$E$585;2);PANGKAT(Normalisasi!$N$45-Konvergensi!$F$585;2);PANGKAT(Normalisasi!$O$45-Konvergensi!$G$585;2);PANGKAT(Normalisasi!$P$45-Konvergensi!$H$585;2)))</f>
        <v/>
      </c>
      <c r="E639">
        <f>AKAR(JUMLAH(PANGKAT(Normalisasi!$J$45-Konvergensi!$B$586;2);PANGKAT(Normalisasi!$K$45-Konvergensi!$C$586;2);PANGKAT(Normalisasi!$L$45-Konvergensi!$D$586;2);PANGKAT(Normalisasi!$M$45-Konvergensi!$E$586;2);PANGKAT(Normalisasi!$N$45-Konvergensi!$F$586;2);PANGKAT(Normalisasi!$O$45-Konvergensi!$G$586;2);PANGKAT(Normalisasi!$P$45-Konvergensi!$H$586;2)))</f>
        <v/>
      </c>
      <c r="F639">
        <f>JIKA(C639&lt;=D639;=JIKA(C639&lt;=E639;0;2);=JIKA(D639&lt;=E639;1;2))</f>
        <v/>
      </c>
      <c r="G639">
        <f>JUMLAH(JIKA(F639=0;JUMLAH(PANGKAT(Normalisasi!$J$45-Konvergensi!$B$649;2);PANGKAT(Normalisasi!$K$45-Konvergensi!$C$649;2);PANGKAT(Normalisasi!$L$45-Konvergensi!$D$649;2);PANGKAT(Normalisasi!$M$45-Konvergensi!$E$649;2);PANGKAT(Normalisasi!$N$45-Konvergensi!$F$649;2);PANGKAT(Normalisasi!$O$45-Konvergensi!$G$649;2);PANGKAT(Normalisasi!$P$45-Konvergensi!$H$649;2));0);JIKA(F639=1;JUMLAH(PANGKAT(Normalisasi!$J$45-Konvergensi!$B$650;2);PANGKAT(Normalisasi!$K$45-Konvergensi!$C$650;2);PANGKAT(Normalisasi!$L$45-Konvergensi!$D$650;2);PANGKAT(Normalisasi!$M$45-Konvergensi!$E$650;2);PANGKAT(Normalisasi!$N$45-Konvergensi!$F$650;2);PANGKAT(Normalisasi!$O$45-Konvergensi!$G$650;2);PANGKAT(Normalisasi!$P$45-Konvergensi!$H$650;2));0);JIKA(F639=2;JUMLAH(PANGKAT(Normalisasi!$J$45-Konvergensi!$B$651;2);PANGKAT(Normalisasi!$K$45-Konvergensi!$C$651;2);PANGKAT(Normalisasi!$L$45-Konvergensi!$D$651;2);PANGKAT(Normalisasi!$M$45-Konvergensi!$E$651;2);PANGKAT(Normalisasi!$N$45-Konvergensi!$F$651;2);PANGKAT(Normalisasi!$O$45-Konvergensi!$G$651;2);PANGKAT(Normalisasi!$P$45-Konvergensi!$H$651;2));0))</f>
        <v/>
      </c>
      <c r="H639" t="n">
        <v>2</v>
      </c>
      <c r="I639" t="n">
        <v>5.944975380109906</v>
      </c>
    </row>
    <row r="640">
      <c r="A640">
        <f>Data_Awal!A46</f>
        <v/>
      </c>
      <c r="B640">
        <f>Data_Awal!B46</f>
        <v/>
      </c>
      <c r="C640">
        <f>AKAR(JUMLAH(PANGKAT(Normalisasi!$J$46-Konvergensi!$B$584;2);PANGKAT(Normalisasi!$K$46-Konvergensi!$C$584;2);PANGKAT(Normalisasi!$L$46-Konvergensi!$D$584;2);PANGKAT(Normalisasi!$M$46-Konvergensi!$E$584;2);PANGKAT(Normalisasi!$N$46-Konvergensi!$F$584;2);PANGKAT(Normalisasi!$O$46-Konvergensi!$G$584;2);PANGKAT(Normalisasi!$P$46-Konvergensi!$H$584;2)))</f>
        <v/>
      </c>
      <c r="D640">
        <f>AKAR(JUMLAH(PANGKAT(Normalisasi!$J$46-Konvergensi!$B$585;2);PANGKAT(Normalisasi!$K$46-Konvergensi!$C$585;2);PANGKAT(Normalisasi!$L$46-Konvergensi!$D$585;2);PANGKAT(Normalisasi!$M$46-Konvergensi!$E$585;2);PANGKAT(Normalisasi!$N$46-Konvergensi!$F$585;2);PANGKAT(Normalisasi!$O$46-Konvergensi!$G$585;2);PANGKAT(Normalisasi!$P$46-Konvergensi!$H$585;2)))</f>
        <v/>
      </c>
      <c r="E640">
        <f>AKAR(JUMLAH(PANGKAT(Normalisasi!$J$46-Konvergensi!$B$586;2);PANGKAT(Normalisasi!$K$46-Konvergensi!$C$586;2);PANGKAT(Normalisasi!$L$46-Konvergensi!$D$586;2);PANGKAT(Normalisasi!$M$46-Konvergensi!$E$586;2);PANGKAT(Normalisasi!$N$46-Konvergensi!$F$586;2);PANGKAT(Normalisasi!$O$46-Konvergensi!$G$586;2);PANGKAT(Normalisasi!$P$46-Konvergensi!$H$586;2)))</f>
        <v/>
      </c>
      <c r="F640">
        <f>JIKA(C640&lt;=D640;=JIKA(C640&lt;=E640;0;2);=JIKA(D640&lt;=E640;1;2))</f>
        <v/>
      </c>
      <c r="G640">
        <f>JUMLAH(JIKA(F640=0;JUMLAH(PANGKAT(Normalisasi!$J$46-Konvergensi!$B$649;2);PANGKAT(Normalisasi!$K$46-Konvergensi!$C$649;2);PANGKAT(Normalisasi!$L$46-Konvergensi!$D$649;2);PANGKAT(Normalisasi!$M$46-Konvergensi!$E$649;2);PANGKAT(Normalisasi!$N$46-Konvergensi!$F$649;2);PANGKAT(Normalisasi!$O$46-Konvergensi!$G$649;2);PANGKAT(Normalisasi!$P$46-Konvergensi!$H$649;2));0);JIKA(F640=1;JUMLAH(PANGKAT(Normalisasi!$J$46-Konvergensi!$B$650;2);PANGKAT(Normalisasi!$K$46-Konvergensi!$C$650;2);PANGKAT(Normalisasi!$L$46-Konvergensi!$D$650;2);PANGKAT(Normalisasi!$M$46-Konvergensi!$E$650;2);PANGKAT(Normalisasi!$N$46-Konvergensi!$F$650;2);PANGKAT(Normalisasi!$O$46-Konvergensi!$G$650;2);PANGKAT(Normalisasi!$P$46-Konvergensi!$H$650;2));0);JIKA(F640=2;JUMLAH(PANGKAT(Normalisasi!$J$46-Konvergensi!$B$651;2);PANGKAT(Normalisasi!$K$46-Konvergensi!$C$651;2);PANGKAT(Normalisasi!$L$46-Konvergensi!$D$651;2);PANGKAT(Normalisasi!$M$46-Konvergensi!$E$651;2);PANGKAT(Normalisasi!$N$46-Konvergensi!$F$651;2);PANGKAT(Normalisasi!$O$46-Konvergensi!$G$651;2);PANGKAT(Normalisasi!$P$46-Konvergensi!$H$651;2));0))</f>
        <v/>
      </c>
      <c r="H640" t="n">
        <v>2</v>
      </c>
      <c r="I640" t="n">
        <v>6.819946750019525</v>
      </c>
    </row>
    <row r="641">
      <c r="A641">
        <f>Data_Awal!A47</f>
        <v/>
      </c>
      <c r="B641">
        <f>Data_Awal!B47</f>
        <v/>
      </c>
      <c r="C641">
        <f>AKAR(JUMLAH(PANGKAT(Normalisasi!$J$47-Konvergensi!$B$584;2);PANGKAT(Normalisasi!$K$47-Konvergensi!$C$584;2);PANGKAT(Normalisasi!$L$47-Konvergensi!$D$584;2);PANGKAT(Normalisasi!$M$47-Konvergensi!$E$584;2);PANGKAT(Normalisasi!$N$47-Konvergensi!$F$584;2);PANGKAT(Normalisasi!$O$47-Konvergensi!$G$584;2);PANGKAT(Normalisasi!$P$47-Konvergensi!$H$584;2)))</f>
        <v/>
      </c>
      <c r="D641">
        <f>AKAR(JUMLAH(PANGKAT(Normalisasi!$J$47-Konvergensi!$B$585;2);PANGKAT(Normalisasi!$K$47-Konvergensi!$C$585;2);PANGKAT(Normalisasi!$L$47-Konvergensi!$D$585;2);PANGKAT(Normalisasi!$M$47-Konvergensi!$E$585;2);PANGKAT(Normalisasi!$N$47-Konvergensi!$F$585;2);PANGKAT(Normalisasi!$O$47-Konvergensi!$G$585;2);PANGKAT(Normalisasi!$P$47-Konvergensi!$H$585;2)))</f>
        <v/>
      </c>
      <c r="E641">
        <f>AKAR(JUMLAH(PANGKAT(Normalisasi!$J$47-Konvergensi!$B$586;2);PANGKAT(Normalisasi!$K$47-Konvergensi!$C$586;2);PANGKAT(Normalisasi!$L$47-Konvergensi!$D$586;2);PANGKAT(Normalisasi!$M$47-Konvergensi!$E$586;2);PANGKAT(Normalisasi!$N$47-Konvergensi!$F$586;2);PANGKAT(Normalisasi!$O$47-Konvergensi!$G$586;2);PANGKAT(Normalisasi!$P$47-Konvergensi!$H$586;2)))</f>
        <v/>
      </c>
      <c r="F641">
        <f>JIKA(C641&lt;=D641;=JIKA(C641&lt;=E641;0;2);=JIKA(D641&lt;=E641;1;2))</f>
        <v/>
      </c>
      <c r="G641">
        <f>JUMLAH(JIKA(F641=0;JUMLAH(PANGKAT(Normalisasi!$J$47-Konvergensi!$B$649;2);PANGKAT(Normalisasi!$K$47-Konvergensi!$C$649;2);PANGKAT(Normalisasi!$L$47-Konvergensi!$D$649;2);PANGKAT(Normalisasi!$M$47-Konvergensi!$E$649;2);PANGKAT(Normalisasi!$N$47-Konvergensi!$F$649;2);PANGKAT(Normalisasi!$O$47-Konvergensi!$G$649;2);PANGKAT(Normalisasi!$P$47-Konvergensi!$H$649;2));0);JIKA(F641=1;JUMLAH(PANGKAT(Normalisasi!$J$47-Konvergensi!$B$650;2);PANGKAT(Normalisasi!$K$47-Konvergensi!$C$650;2);PANGKAT(Normalisasi!$L$47-Konvergensi!$D$650;2);PANGKAT(Normalisasi!$M$47-Konvergensi!$E$650;2);PANGKAT(Normalisasi!$N$47-Konvergensi!$F$650;2);PANGKAT(Normalisasi!$O$47-Konvergensi!$G$650;2);PANGKAT(Normalisasi!$P$47-Konvergensi!$H$650;2));0);JIKA(F641=2;JUMLAH(PANGKAT(Normalisasi!$J$47-Konvergensi!$B$651;2);PANGKAT(Normalisasi!$K$47-Konvergensi!$C$651;2);PANGKAT(Normalisasi!$L$47-Konvergensi!$D$651;2);PANGKAT(Normalisasi!$M$47-Konvergensi!$E$651;2);PANGKAT(Normalisasi!$N$47-Konvergensi!$F$651;2);PANGKAT(Normalisasi!$O$47-Konvergensi!$G$651;2);PANGKAT(Normalisasi!$P$47-Konvergensi!$H$651;2));0))</f>
        <v/>
      </c>
      <c r="H641" t="n">
        <v>2</v>
      </c>
      <c r="I641" t="n">
        <v>4.034935711443805</v>
      </c>
    </row>
    <row r="642">
      <c r="A642">
        <f>Data_Awal!A48</f>
        <v/>
      </c>
      <c r="B642">
        <f>Data_Awal!B48</f>
        <v/>
      </c>
      <c r="C642">
        <f>AKAR(JUMLAH(PANGKAT(Normalisasi!$J$48-Konvergensi!$B$584;2);PANGKAT(Normalisasi!$K$48-Konvergensi!$C$584;2);PANGKAT(Normalisasi!$L$48-Konvergensi!$D$584;2);PANGKAT(Normalisasi!$M$48-Konvergensi!$E$584;2);PANGKAT(Normalisasi!$N$48-Konvergensi!$F$584;2);PANGKAT(Normalisasi!$O$48-Konvergensi!$G$584;2);PANGKAT(Normalisasi!$P$48-Konvergensi!$H$584;2)))</f>
        <v/>
      </c>
      <c r="D642">
        <f>AKAR(JUMLAH(PANGKAT(Normalisasi!$J$48-Konvergensi!$B$585;2);PANGKAT(Normalisasi!$K$48-Konvergensi!$C$585;2);PANGKAT(Normalisasi!$L$48-Konvergensi!$D$585;2);PANGKAT(Normalisasi!$M$48-Konvergensi!$E$585;2);PANGKAT(Normalisasi!$N$48-Konvergensi!$F$585;2);PANGKAT(Normalisasi!$O$48-Konvergensi!$G$585;2);PANGKAT(Normalisasi!$P$48-Konvergensi!$H$585;2)))</f>
        <v/>
      </c>
      <c r="E642">
        <f>AKAR(JUMLAH(PANGKAT(Normalisasi!$J$48-Konvergensi!$B$586;2);PANGKAT(Normalisasi!$K$48-Konvergensi!$C$586;2);PANGKAT(Normalisasi!$L$48-Konvergensi!$D$586;2);PANGKAT(Normalisasi!$M$48-Konvergensi!$E$586;2);PANGKAT(Normalisasi!$N$48-Konvergensi!$F$586;2);PANGKAT(Normalisasi!$O$48-Konvergensi!$G$586;2);PANGKAT(Normalisasi!$P$48-Konvergensi!$H$586;2)))</f>
        <v/>
      </c>
      <c r="F642">
        <f>JIKA(C642&lt;=D642;=JIKA(C642&lt;=E642;0;2);=JIKA(D642&lt;=E642;1;2))</f>
        <v/>
      </c>
      <c r="G642">
        <f>JUMLAH(JIKA(F642=0;JUMLAH(PANGKAT(Normalisasi!$J$48-Konvergensi!$B$649;2);PANGKAT(Normalisasi!$K$48-Konvergensi!$C$649;2);PANGKAT(Normalisasi!$L$48-Konvergensi!$D$649;2);PANGKAT(Normalisasi!$M$48-Konvergensi!$E$649;2);PANGKAT(Normalisasi!$N$48-Konvergensi!$F$649;2);PANGKAT(Normalisasi!$O$48-Konvergensi!$G$649;2);PANGKAT(Normalisasi!$P$48-Konvergensi!$H$649;2));0);JIKA(F642=1;JUMLAH(PANGKAT(Normalisasi!$J$48-Konvergensi!$B$650;2);PANGKAT(Normalisasi!$K$48-Konvergensi!$C$650;2);PANGKAT(Normalisasi!$L$48-Konvergensi!$D$650;2);PANGKAT(Normalisasi!$M$48-Konvergensi!$E$650;2);PANGKAT(Normalisasi!$N$48-Konvergensi!$F$650;2);PANGKAT(Normalisasi!$O$48-Konvergensi!$G$650;2);PANGKAT(Normalisasi!$P$48-Konvergensi!$H$650;2));0);JIKA(F642=2;JUMLAH(PANGKAT(Normalisasi!$J$48-Konvergensi!$B$651;2);PANGKAT(Normalisasi!$K$48-Konvergensi!$C$651;2);PANGKAT(Normalisasi!$L$48-Konvergensi!$D$651;2);PANGKAT(Normalisasi!$M$48-Konvergensi!$E$651;2);PANGKAT(Normalisasi!$N$48-Konvergensi!$F$651;2);PANGKAT(Normalisasi!$O$48-Konvergensi!$G$651;2);PANGKAT(Normalisasi!$P$48-Konvergensi!$H$651;2));0))</f>
        <v/>
      </c>
      <c r="H642" t="n">
        <v>1</v>
      </c>
      <c r="I642" t="n">
        <v>2.515310562387401</v>
      </c>
    </row>
    <row r="643">
      <c r="A643">
        <f>Data_Awal!A49</f>
        <v/>
      </c>
      <c r="B643">
        <f>Data_Awal!B49</f>
        <v/>
      </c>
      <c r="C643">
        <f>AKAR(JUMLAH(PANGKAT(Normalisasi!$J$49-Konvergensi!$B$584;2);PANGKAT(Normalisasi!$K$49-Konvergensi!$C$584;2);PANGKAT(Normalisasi!$L$49-Konvergensi!$D$584;2);PANGKAT(Normalisasi!$M$49-Konvergensi!$E$584;2);PANGKAT(Normalisasi!$N$49-Konvergensi!$F$584;2);PANGKAT(Normalisasi!$O$49-Konvergensi!$G$584;2);PANGKAT(Normalisasi!$P$49-Konvergensi!$H$584;2)))</f>
        <v/>
      </c>
      <c r="D643">
        <f>AKAR(JUMLAH(PANGKAT(Normalisasi!$J$49-Konvergensi!$B$585;2);PANGKAT(Normalisasi!$K$49-Konvergensi!$C$585;2);PANGKAT(Normalisasi!$L$49-Konvergensi!$D$585;2);PANGKAT(Normalisasi!$M$49-Konvergensi!$E$585;2);PANGKAT(Normalisasi!$N$49-Konvergensi!$F$585;2);PANGKAT(Normalisasi!$O$49-Konvergensi!$G$585;2);PANGKAT(Normalisasi!$P$49-Konvergensi!$H$585;2)))</f>
        <v/>
      </c>
      <c r="E643">
        <f>AKAR(JUMLAH(PANGKAT(Normalisasi!$J$49-Konvergensi!$B$586;2);PANGKAT(Normalisasi!$K$49-Konvergensi!$C$586;2);PANGKAT(Normalisasi!$L$49-Konvergensi!$D$586;2);PANGKAT(Normalisasi!$M$49-Konvergensi!$E$586;2);PANGKAT(Normalisasi!$N$49-Konvergensi!$F$586;2);PANGKAT(Normalisasi!$O$49-Konvergensi!$G$586;2);PANGKAT(Normalisasi!$P$49-Konvergensi!$H$586;2)))</f>
        <v/>
      </c>
      <c r="F643">
        <f>JIKA(C643&lt;=D643;=JIKA(C643&lt;=E643;0;2);=JIKA(D643&lt;=E643;1;2))</f>
        <v/>
      </c>
      <c r="G643">
        <f>JUMLAH(JIKA(F643=0;JUMLAH(PANGKAT(Normalisasi!$J$49-Konvergensi!$B$649;2);PANGKAT(Normalisasi!$K$49-Konvergensi!$C$649;2);PANGKAT(Normalisasi!$L$49-Konvergensi!$D$649;2);PANGKAT(Normalisasi!$M$49-Konvergensi!$E$649;2);PANGKAT(Normalisasi!$N$49-Konvergensi!$F$649;2);PANGKAT(Normalisasi!$O$49-Konvergensi!$G$649;2);PANGKAT(Normalisasi!$P$49-Konvergensi!$H$649;2));0);JIKA(F643=1;JUMLAH(PANGKAT(Normalisasi!$J$49-Konvergensi!$B$650;2);PANGKAT(Normalisasi!$K$49-Konvergensi!$C$650;2);PANGKAT(Normalisasi!$L$49-Konvergensi!$D$650;2);PANGKAT(Normalisasi!$M$49-Konvergensi!$E$650;2);PANGKAT(Normalisasi!$N$49-Konvergensi!$F$650;2);PANGKAT(Normalisasi!$O$49-Konvergensi!$G$650;2);PANGKAT(Normalisasi!$P$49-Konvergensi!$H$650;2));0);JIKA(F643=2;JUMLAH(PANGKAT(Normalisasi!$J$49-Konvergensi!$B$651;2);PANGKAT(Normalisasi!$K$49-Konvergensi!$C$651;2);PANGKAT(Normalisasi!$L$49-Konvergensi!$D$651;2);PANGKAT(Normalisasi!$M$49-Konvergensi!$E$651;2);PANGKAT(Normalisasi!$N$49-Konvergensi!$F$651;2);PANGKAT(Normalisasi!$O$49-Konvergensi!$G$651;2);PANGKAT(Normalisasi!$P$49-Konvergensi!$H$651;2));0))</f>
        <v/>
      </c>
      <c r="H643" t="n">
        <v>0</v>
      </c>
      <c r="I643" t="n">
        <v>2.347285791798794</v>
      </c>
    </row>
    <row r="644">
      <c r="A644">
        <f>Data_Awal!A50</f>
        <v/>
      </c>
      <c r="B644">
        <f>Data_Awal!B50</f>
        <v/>
      </c>
      <c r="C644">
        <f>AKAR(JUMLAH(PANGKAT(Normalisasi!$J$50-Konvergensi!$B$584;2);PANGKAT(Normalisasi!$K$50-Konvergensi!$C$584;2);PANGKAT(Normalisasi!$L$50-Konvergensi!$D$584;2);PANGKAT(Normalisasi!$M$50-Konvergensi!$E$584;2);PANGKAT(Normalisasi!$N$50-Konvergensi!$F$584;2);PANGKAT(Normalisasi!$O$50-Konvergensi!$G$584;2);PANGKAT(Normalisasi!$P$50-Konvergensi!$H$584;2)))</f>
        <v/>
      </c>
      <c r="D644">
        <f>AKAR(JUMLAH(PANGKAT(Normalisasi!$J$50-Konvergensi!$B$585;2);PANGKAT(Normalisasi!$K$50-Konvergensi!$C$585;2);PANGKAT(Normalisasi!$L$50-Konvergensi!$D$585;2);PANGKAT(Normalisasi!$M$50-Konvergensi!$E$585;2);PANGKAT(Normalisasi!$N$50-Konvergensi!$F$585;2);PANGKAT(Normalisasi!$O$50-Konvergensi!$G$585;2);PANGKAT(Normalisasi!$P$50-Konvergensi!$H$585;2)))</f>
        <v/>
      </c>
      <c r="E644">
        <f>AKAR(JUMLAH(PANGKAT(Normalisasi!$J$50-Konvergensi!$B$586;2);PANGKAT(Normalisasi!$K$50-Konvergensi!$C$586;2);PANGKAT(Normalisasi!$L$50-Konvergensi!$D$586;2);PANGKAT(Normalisasi!$M$50-Konvergensi!$E$586;2);PANGKAT(Normalisasi!$N$50-Konvergensi!$F$586;2);PANGKAT(Normalisasi!$O$50-Konvergensi!$G$586;2);PANGKAT(Normalisasi!$P$50-Konvergensi!$H$586;2)))</f>
        <v/>
      </c>
      <c r="F644">
        <f>JIKA(C644&lt;=D644;=JIKA(C644&lt;=E644;0;2);=JIKA(D644&lt;=E644;1;2))</f>
        <v/>
      </c>
      <c r="G644">
        <f>JUMLAH(JIKA(F644=0;JUMLAH(PANGKAT(Normalisasi!$J$50-Konvergensi!$B$649;2);PANGKAT(Normalisasi!$K$50-Konvergensi!$C$649;2);PANGKAT(Normalisasi!$L$50-Konvergensi!$D$649;2);PANGKAT(Normalisasi!$M$50-Konvergensi!$E$649;2);PANGKAT(Normalisasi!$N$50-Konvergensi!$F$649;2);PANGKAT(Normalisasi!$O$50-Konvergensi!$G$649;2);PANGKAT(Normalisasi!$P$50-Konvergensi!$H$649;2));0);JIKA(F644=1;JUMLAH(PANGKAT(Normalisasi!$J$50-Konvergensi!$B$650;2);PANGKAT(Normalisasi!$K$50-Konvergensi!$C$650;2);PANGKAT(Normalisasi!$L$50-Konvergensi!$D$650;2);PANGKAT(Normalisasi!$M$50-Konvergensi!$E$650;2);PANGKAT(Normalisasi!$N$50-Konvergensi!$F$650;2);PANGKAT(Normalisasi!$O$50-Konvergensi!$G$650;2);PANGKAT(Normalisasi!$P$50-Konvergensi!$H$650;2));0);JIKA(F644=2;JUMLAH(PANGKAT(Normalisasi!$J$50-Konvergensi!$B$651;2);PANGKAT(Normalisasi!$K$50-Konvergensi!$C$651;2);PANGKAT(Normalisasi!$L$50-Konvergensi!$D$651;2);PANGKAT(Normalisasi!$M$50-Konvergensi!$E$651;2);PANGKAT(Normalisasi!$N$50-Konvergensi!$F$651;2);PANGKAT(Normalisasi!$O$50-Konvergensi!$G$651;2);PANGKAT(Normalisasi!$P$50-Konvergensi!$H$651;2));0))</f>
        <v/>
      </c>
      <c r="H644" t="n">
        <v>0</v>
      </c>
      <c r="I644" t="n">
        <v>3.49332675127443</v>
      </c>
    </row>
    <row r="645">
      <c r="A645">
        <f>Data_Awal!A51</f>
        <v/>
      </c>
      <c r="B645">
        <f>Data_Awal!B51</f>
        <v/>
      </c>
      <c r="C645">
        <f>AKAR(JUMLAH(PANGKAT(Normalisasi!$J$51-Konvergensi!$B$584;2);PANGKAT(Normalisasi!$K$51-Konvergensi!$C$584;2);PANGKAT(Normalisasi!$L$51-Konvergensi!$D$584;2);PANGKAT(Normalisasi!$M$51-Konvergensi!$E$584;2);PANGKAT(Normalisasi!$N$51-Konvergensi!$F$584;2);PANGKAT(Normalisasi!$O$51-Konvergensi!$G$584;2);PANGKAT(Normalisasi!$P$51-Konvergensi!$H$584;2)))</f>
        <v/>
      </c>
      <c r="D645">
        <f>AKAR(JUMLAH(PANGKAT(Normalisasi!$J$51-Konvergensi!$B$585;2);PANGKAT(Normalisasi!$K$51-Konvergensi!$C$585;2);PANGKAT(Normalisasi!$L$51-Konvergensi!$D$585;2);PANGKAT(Normalisasi!$M$51-Konvergensi!$E$585;2);PANGKAT(Normalisasi!$N$51-Konvergensi!$F$585;2);PANGKAT(Normalisasi!$O$51-Konvergensi!$G$585;2);PANGKAT(Normalisasi!$P$51-Konvergensi!$H$585;2)))</f>
        <v/>
      </c>
      <c r="E645">
        <f>AKAR(JUMLAH(PANGKAT(Normalisasi!$J$51-Konvergensi!$B$586;2);PANGKAT(Normalisasi!$K$51-Konvergensi!$C$586;2);PANGKAT(Normalisasi!$L$51-Konvergensi!$D$586;2);PANGKAT(Normalisasi!$M$51-Konvergensi!$E$586;2);PANGKAT(Normalisasi!$N$51-Konvergensi!$F$586;2);PANGKAT(Normalisasi!$O$51-Konvergensi!$G$586;2);PANGKAT(Normalisasi!$P$51-Konvergensi!$H$586;2)))</f>
        <v/>
      </c>
      <c r="F645">
        <f>JIKA(C645&lt;=D645;=JIKA(C645&lt;=E645;0;2);=JIKA(D645&lt;=E645;1;2))</f>
        <v/>
      </c>
      <c r="G645">
        <f>JUMLAH(JIKA(F645=0;JUMLAH(PANGKAT(Normalisasi!$J$51-Konvergensi!$B$649;2);PANGKAT(Normalisasi!$K$51-Konvergensi!$C$649;2);PANGKAT(Normalisasi!$L$51-Konvergensi!$D$649;2);PANGKAT(Normalisasi!$M$51-Konvergensi!$E$649;2);PANGKAT(Normalisasi!$N$51-Konvergensi!$F$649;2);PANGKAT(Normalisasi!$O$51-Konvergensi!$G$649;2);PANGKAT(Normalisasi!$P$51-Konvergensi!$H$649;2));0);JIKA(F645=1;JUMLAH(PANGKAT(Normalisasi!$J$51-Konvergensi!$B$650;2);PANGKAT(Normalisasi!$K$51-Konvergensi!$C$650;2);PANGKAT(Normalisasi!$L$51-Konvergensi!$D$650;2);PANGKAT(Normalisasi!$M$51-Konvergensi!$E$650;2);PANGKAT(Normalisasi!$N$51-Konvergensi!$F$650;2);PANGKAT(Normalisasi!$O$51-Konvergensi!$G$650;2);PANGKAT(Normalisasi!$P$51-Konvergensi!$H$650;2));0);JIKA(F645=2;JUMLAH(PANGKAT(Normalisasi!$J$51-Konvergensi!$B$651;2);PANGKAT(Normalisasi!$K$51-Konvergensi!$C$651;2);PANGKAT(Normalisasi!$L$51-Konvergensi!$D$651;2);PANGKAT(Normalisasi!$M$51-Konvergensi!$E$651;2);PANGKAT(Normalisasi!$N$51-Konvergensi!$F$651;2);PANGKAT(Normalisasi!$O$51-Konvergensi!$G$651;2);PANGKAT(Normalisasi!$P$51-Konvergensi!$H$651;2));0))</f>
        <v/>
      </c>
      <c r="H645" t="n">
        <v>2</v>
      </c>
      <c r="I645" t="n">
        <v>2.311118252290219</v>
      </c>
    </row>
    <row r="647">
      <c r="A647" s="4" t="inlineStr">
        <is>
          <t>Centroid baru setelah iter 10</t>
        </is>
      </c>
    </row>
    <row r="648">
      <c r="A648" t="inlineStr">
        <is>
          <t>Cluster</t>
        </is>
      </c>
      <c r="B648" s="1" t="inlineStr">
        <is>
          <t>Z Latitude</t>
        </is>
      </c>
      <c r="C648" s="1" t="inlineStr">
        <is>
          <t>Z Longitude</t>
        </is>
      </c>
      <c r="D648" s="1" t="inlineStr">
        <is>
          <t>Z Semantic Score</t>
        </is>
      </c>
      <c r="E648" s="1" t="inlineStr">
        <is>
          <t>Z Jarak Hotel (m)</t>
        </is>
      </c>
      <c r="F648" s="1" t="inlineStr">
        <is>
          <t>Z Jarak Halte (m)</t>
        </is>
      </c>
      <c r="G648" s="1" t="inlineStr">
        <is>
          <t>Z Restoran 500m</t>
        </is>
      </c>
      <c r="H648" s="1" t="inlineStr">
        <is>
          <t>Z Minimarket 500m</t>
        </is>
      </c>
    </row>
    <row r="649">
      <c r="A649" t="inlineStr">
        <is>
          <t>C0</t>
        </is>
      </c>
      <c r="B649">
        <f>RATA.RATA.JIKA($F$596:$F$645;0;Normalisasi!$J$2:$J$51)</f>
        <v/>
      </c>
      <c r="C649">
        <f>RATA.RATA.JIKA($F$596:$F$645;0;Normalisasi!$K$2:$K$51)</f>
        <v/>
      </c>
      <c r="D649">
        <f>RATA.RATA.JIKA($F$596:$F$645;0;Normalisasi!$L$2:$L$51)</f>
        <v/>
      </c>
      <c r="E649">
        <f>RATA.RATA.JIKA($F$596:$F$645;0;Normalisasi!$M$2:$M$51)</f>
        <v/>
      </c>
      <c r="F649">
        <f>RATA.RATA.JIKA($F$596:$F$645;0;Normalisasi!$N$2:$N$51)</f>
        <v/>
      </c>
      <c r="G649">
        <f>RATA.RATA.JIKA($F$596:$F$645;0;Normalisasi!$O$2:$O$51)</f>
        <v/>
      </c>
      <c r="H649">
        <f>RATA.RATA.JIKA($F$596:$F$645;0;Normalisasi!$P$2:$P$51)</f>
        <v/>
      </c>
      <c r="J649" t="n">
        <v>-0.4613542886197161</v>
      </c>
      <c r="K649" t="n">
        <v>-0.0987820946262668</v>
      </c>
      <c r="L649" t="n">
        <v>-0.5993955585274795</v>
      </c>
      <c r="M649" t="n">
        <v>-0.3961634697453808</v>
      </c>
      <c r="N649" t="n">
        <v>-0.6911352334187006</v>
      </c>
      <c r="O649" t="n">
        <v>-0.8172043279420724</v>
      </c>
      <c r="P649" t="n">
        <v>-0.05876487892960753</v>
      </c>
    </row>
    <row r="650">
      <c r="A650" t="inlineStr">
        <is>
          <t>C1</t>
        </is>
      </c>
      <c r="B650">
        <f>RATA.RATA.JIKA($F$596:$F$645;1;Normalisasi!$J$2:$J$51)</f>
        <v/>
      </c>
      <c r="C650">
        <f>RATA.RATA.JIKA($F$596:$F$645;1;Normalisasi!$K$2:$K$51)</f>
        <v/>
      </c>
      <c r="D650">
        <f>RATA.RATA.JIKA($F$596:$F$645;1;Normalisasi!$L$2:$L$51)</f>
        <v/>
      </c>
      <c r="E650">
        <f>RATA.RATA.JIKA($F$596:$F$645;1;Normalisasi!$M$2:$M$51)</f>
        <v/>
      </c>
      <c r="F650">
        <f>RATA.RATA.JIKA($F$596:$F$645;1;Normalisasi!$N$2:$N$51)</f>
        <v/>
      </c>
      <c r="G650">
        <f>RATA.RATA.JIKA($F$596:$F$645;1;Normalisasi!$O$2:$O$51)</f>
        <v/>
      </c>
      <c r="H650">
        <f>RATA.RATA.JIKA($F$596:$F$645;1;Normalisasi!$P$2:$P$51)</f>
        <v/>
      </c>
      <c r="J650" t="n">
        <v>-0.1657279022145444</v>
      </c>
      <c r="K650" t="n">
        <v>0.1758635709175079</v>
      </c>
      <c r="L650" t="n">
        <v>0.2854088392484354</v>
      </c>
      <c r="M650" t="n">
        <v>0.5638900772964751</v>
      </c>
      <c r="N650" t="n">
        <v>1.046607242724782</v>
      </c>
      <c r="O650" t="n">
        <v>0.2611416055903919</v>
      </c>
      <c r="P650" t="n">
        <v>-0.8598521435832207</v>
      </c>
    </row>
    <row r="651">
      <c r="A651" t="inlineStr">
        <is>
          <t>C2</t>
        </is>
      </c>
      <c r="B651">
        <f>RATA.RATA.JIKA($F$596:$F$645;2;Normalisasi!$J$2:$J$51)</f>
        <v/>
      </c>
      <c r="C651">
        <f>RATA.RATA.JIKA($F$596:$F$645;2;Normalisasi!$K$2:$K$51)</f>
        <v/>
      </c>
      <c r="D651">
        <f>RATA.RATA.JIKA($F$596:$F$645;2;Normalisasi!$L$2:$L$51)</f>
        <v/>
      </c>
      <c r="E651">
        <f>RATA.RATA.JIKA($F$596:$F$645;2;Normalisasi!$M$2:$M$51)</f>
        <v/>
      </c>
      <c r="F651">
        <f>RATA.RATA.JIKA($F$596:$F$645;2;Normalisasi!$N$2:$N$51)</f>
        <v/>
      </c>
      <c r="G651">
        <f>RATA.RATA.JIKA($F$596:$F$645;2;Normalisasi!$O$2:$O$51)</f>
        <v/>
      </c>
      <c r="H651">
        <f>RATA.RATA.JIKA($F$596:$F$645;2;Normalisasi!$P$2:$P$51)</f>
        <v/>
      </c>
      <c r="J651" t="n">
        <v>0.6347232781396207</v>
      </c>
      <c r="K651" t="n">
        <v>-0.05058093296967998</v>
      </c>
      <c r="L651" t="n">
        <v>0.3828227920451803</v>
      </c>
      <c r="M651" t="n">
        <v>-0.07808286494295746</v>
      </c>
      <c r="N651" t="n">
        <v>-0.1916867317255962</v>
      </c>
      <c r="O651" t="n">
        <v>0.6348561070059661</v>
      </c>
      <c r="P651" t="n">
        <v>0.82091470438125</v>
      </c>
    </row>
    <row r="653">
      <c r="A653" t="inlineStr">
        <is>
          <t>Total WCSS (Excel)</t>
        </is>
      </c>
      <c r="B653">
        <f>JUMLAH($G$596:$G$645)</f>
        <v/>
      </c>
    </row>
    <row r="654">
      <c r="A654" t="inlineStr">
        <is>
          <t>Total WCSS (Python)</t>
        </is>
      </c>
      <c r="B654" t="n">
        <v>252.188785316548</v>
      </c>
    </row>
    <row r="655">
      <c r="A655" t="inlineStr">
        <is>
          <t>Selisih WCSS</t>
        </is>
      </c>
      <c r="B655">
        <f>ABS(B653-B654)</f>
        <v/>
      </c>
    </row>
    <row r="656">
      <c r="A656" t="inlineStr">
        <is>
          <t>Label berubah?</t>
        </is>
      </c>
      <c r="B656">
        <f>JIKA(JUMLAH(JIKA($F$596:$F$645&lt;&gt;$F$596:$F$645;1;0))=0;"Tidak";"Ya")</f>
        <v/>
      </c>
    </row>
    <row r="657">
      <c r="A657" t="inlineStr">
        <is>
          <t>Max shift centroid</t>
        </is>
      </c>
      <c r="B657" t="n">
        <v>0.1937187641015954</v>
      </c>
    </row>
    <row r="659">
      <c r="A659" s="4" t="inlineStr">
        <is>
          <t>ITER 11 — Assignment &amp; Centroid Baru</t>
        </is>
      </c>
    </row>
    <row r="660">
      <c r="A660" s="1" t="inlineStr">
        <is>
          <t>POI ID</t>
        </is>
      </c>
      <c r="B660" s="1" t="inlineStr">
        <is>
          <t>Nama</t>
        </is>
      </c>
      <c r="C660" s="1" t="inlineStr">
        <is>
          <t>d(C0)</t>
        </is>
      </c>
      <c r="D660" s="1" t="inlineStr">
        <is>
          <t>d(C1)</t>
        </is>
      </c>
      <c r="E660" s="1" t="inlineStr">
        <is>
          <t>d(C2)</t>
        </is>
      </c>
      <c r="F660" s="1" t="inlineStr">
        <is>
          <t>Cluster</t>
        </is>
      </c>
      <c r="G660" s="1" t="inlineStr">
        <is>
          <t>WCSS POI</t>
        </is>
      </c>
      <c r="H660" s="1" t="inlineStr">
        <is>
          <t>Py Cluster</t>
        </is>
      </c>
      <c r="I660" s="1" t="inlineStr">
        <is>
          <t>Py WCSS</t>
        </is>
      </c>
    </row>
    <row r="661">
      <c r="A661">
        <f>Data_Awal!A2</f>
        <v/>
      </c>
      <c r="B661">
        <f>Data_Awal!B2</f>
        <v/>
      </c>
      <c r="C661">
        <f>AKAR(JUMLAH(PANGKAT(Normalisasi!$J$2-Konvergensi!$B$649;2);PANGKAT(Normalisasi!$K$2-Konvergensi!$C$649;2);PANGKAT(Normalisasi!$L$2-Konvergensi!$D$649;2);PANGKAT(Normalisasi!$M$2-Konvergensi!$E$649;2);PANGKAT(Normalisasi!$N$2-Konvergensi!$F$649;2);PANGKAT(Normalisasi!$O$2-Konvergensi!$G$649;2);PANGKAT(Normalisasi!$P$2-Konvergensi!$H$649;2)))</f>
        <v/>
      </c>
      <c r="D661">
        <f>AKAR(JUMLAH(PANGKAT(Normalisasi!$J$2-Konvergensi!$B$650;2);PANGKAT(Normalisasi!$K$2-Konvergensi!$C$650;2);PANGKAT(Normalisasi!$L$2-Konvergensi!$D$650;2);PANGKAT(Normalisasi!$M$2-Konvergensi!$E$650;2);PANGKAT(Normalisasi!$N$2-Konvergensi!$F$650;2);PANGKAT(Normalisasi!$O$2-Konvergensi!$G$650;2);PANGKAT(Normalisasi!$P$2-Konvergensi!$H$650;2)))</f>
        <v/>
      </c>
      <c r="E661">
        <f>AKAR(JUMLAH(PANGKAT(Normalisasi!$J$2-Konvergensi!$B$651;2);PANGKAT(Normalisasi!$K$2-Konvergensi!$C$651;2);PANGKAT(Normalisasi!$L$2-Konvergensi!$D$651;2);PANGKAT(Normalisasi!$M$2-Konvergensi!$E$651;2);PANGKAT(Normalisasi!$N$2-Konvergensi!$F$651;2);PANGKAT(Normalisasi!$O$2-Konvergensi!$G$651;2);PANGKAT(Normalisasi!$P$2-Konvergensi!$H$651;2)))</f>
        <v/>
      </c>
      <c r="F661">
        <f>JIKA(C661&lt;=D661;=JIKA(C661&lt;=E661;0;2);=JIKA(D661&lt;=E661;1;2))</f>
        <v/>
      </c>
      <c r="G661">
        <f>JUMLAH(JIKA(F661=0;JUMLAH(PANGKAT(Normalisasi!$J$2-Konvergensi!$B$714;2);PANGKAT(Normalisasi!$K$2-Konvergensi!$C$714;2);PANGKAT(Normalisasi!$L$2-Konvergensi!$D$714;2);PANGKAT(Normalisasi!$M$2-Konvergensi!$E$714;2);PANGKAT(Normalisasi!$N$2-Konvergensi!$F$714;2);PANGKAT(Normalisasi!$O$2-Konvergensi!$G$714;2);PANGKAT(Normalisasi!$P$2-Konvergensi!$H$714;2));0);JIKA(F661=1;JUMLAH(PANGKAT(Normalisasi!$J$2-Konvergensi!$B$715;2);PANGKAT(Normalisasi!$K$2-Konvergensi!$C$715;2);PANGKAT(Normalisasi!$L$2-Konvergensi!$D$715;2);PANGKAT(Normalisasi!$M$2-Konvergensi!$E$715;2);PANGKAT(Normalisasi!$N$2-Konvergensi!$F$715;2);PANGKAT(Normalisasi!$O$2-Konvergensi!$G$715;2);PANGKAT(Normalisasi!$P$2-Konvergensi!$H$715;2));0);JIKA(F661=2;JUMLAH(PANGKAT(Normalisasi!$J$2-Konvergensi!$B$716;2);PANGKAT(Normalisasi!$K$2-Konvergensi!$C$716;2);PANGKAT(Normalisasi!$L$2-Konvergensi!$D$716;2);PANGKAT(Normalisasi!$M$2-Konvergensi!$E$716;2);PANGKAT(Normalisasi!$N$2-Konvergensi!$F$716;2);PANGKAT(Normalisasi!$O$2-Konvergensi!$G$716;2);PANGKAT(Normalisasi!$P$2-Konvergensi!$H$716;2));0))</f>
        <v/>
      </c>
      <c r="H661" t="n">
        <v>2</v>
      </c>
      <c r="I661" t="n">
        <v>5.549130049778348</v>
      </c>
    </row>
    <row r="662">
      <c r="A662">
        <f>Data_Awal!A3</f>
        <v/>
      </c>
      <c r="B662">
        <f>Data_Awal!B3</f>
        <v/>
      </c>
      <c r="C662">
        <f>AKAR(JUMLAH(PANGKAT(Normalisasi!$J$3-Konvergensi!$B$649;2);PANGKAT(Normalisasi!$K$3-Konvergensi!$C$649;2);PANGKAT(Normalisasi!$L$3-Konvergensi!$D$649;2);PANGKAT(Normalisasi!$M$3-Konvergensi!$E$649;2);PANGKAT(Normalisasi!$N$3-Konvergensi!$F$649;2);PANGKAT(Normalisasi!$O$3-Konvergensi!$G$649;2);PANGKAT(Normalisasi!$P$3-Konvergensi!$H$649;2)))</f>
        <v/>
      </c>
      <c r="D662">
        <f>AKAR(JUMLAH(PANGKAT(Normalisasi!$J$3-Konvergensi!$B$650;2);PANGKAT(Normalisasi!$K$3-Konvergensi!$C$650;2);PANGKAT(Normalisasi!$L$3-Konvergensi!$D$650;2);PANGKAT(Normalisasi!$M$3-Konvergensi!$E$650;2);PANGKAT(Normalisasi!$N$3-Konvergensi!$F$650;2);PANGKAT(Normalisasi!$O$3-Konvergensi!$G$650;2);PANGKAT(Normalisasi!$P$3-Konvergensi!$H$650;2)))</f>
        <v/>
      </c>
      <c r="E662">
        <f>AKAR(JUMLAH(PANGKAT(Normalisasi!$J$3-Konvergensi!$B$651;2);PANGKAT(Normalisasi!$K$3-Konvergensi!$C$651;2);PANGKAT(Normalisasi!$L$3-Konvergensi!$D$651;2);PANGKAT(Normalisasi!$M$3-Konvergensi!$E$651;2);PANGKAT(Normalisasi!$N$3-Konvergensi!$F$651;2);PANGKAT(Normalisasi!$O$3-Konvergensi!$G$651;2);PANGKAT(Normalisasi!$P$3-Konvergensi!$H$651;2)))</f>
        <v/>
      </c>
      <c r="F662">
        <f>JIKA(C662&lt;=D662;=JIKA(C662&lt;=E662;0;2);=JIKA(D662&lt;=E662;1;2))</f>
        <v/>
      </c>
      <c r="G662">
        <f>JUMLAH(JIKA(F662=0;JUMLAH(PANGKAT(Normalisasi!$J$3-Konvergensi!$B$714;2);PANGKAT(Normalisasi!$K$3-Konvergensi!$C$714;2);PANGKAT(Normalisasi!$L$3-Konvergensi!$D$714;2);PANGKAT(Normalisasi!$M$3-Konvergensi!$E$714;2);PANGKAT(Normalisasi!$N$3-Konvergensi!$F$714;2);PANGKAT(Normalisasi!$O$3-Konvergensi!$G$714;2);PANGKAT(Normalisasi!$P$3-Konvergensi!$H$714;2));0);JIKA(F662=1;JUMLAH(PANGKAT(Normalisasi!$J$3-Konvergensi!$B$715;2);PANGKAT(Normalisasi!$K$3-Konvergensi!$C$715;2);PANGKAT(Normalisasi!$L$3-Konvergensi!$D$715;2);PANGKAT(Normalisasi!$M$3-Konvergensi!$E$715;2);PANGKAT(Normalisasi!$N$3-Konvergensi!$F$715;2);PANGKAT(Normalisasi!$O$3-Konvergensi!$G$715;2);PANGKAT(Normalisasi!$P$3-Konvergensi!$H$715;2));0);JIKA(F662=2;JUMLAH(PANGKAT(Normalisasi!$J$3-Konvergensi!$B$716;2);PANGKAT(Normalisasi!$K$3-Konvergensi!$C$716;2);PANGKAT(Normalisasi!$L$3-Konvergensi!$D$716;2);PANGKAT(Normalisasi!$M$3-Konvergensi!$E$716;2);PANGKAT(Normalisasi!$N$3-Konvergensi!$F$716;2);PANGKAT(Normalisasi!$O$3-Konvergensi!$G$716;2);PANGKAT(Normalisasi!$P$3-Konvergensi!$H$716;2));0))</f>
        <v/>
      </c>
      <c r="H662" t="n">
        <v>1</v>
      </c>
      <c r="I662" t="n">
        <v>6.23025285156297</v>
      </c>
    </row>
    <row r="663">
      <c r="A663">
        <f>Data_Awal!A4</f>
        <v/>
      </c>
      <c r="B663">
        <f>Data_Awal!B4</f>
        <v/>
      </c>
      <c r="C663">
        <f>AKAR(JUMLAH(PANGKAT(Normalisasi!$J$4-Konvergensi!$B$649;2);PANGKAT(Normalisasi!$K$4-Konvergensi!$C$649;2);PANGKAT(Normalisasi!$L$4-Konvergensi!$D$649;2);PANGKAT(Normalisasi!$M$4-Konvergensi!$E$649;2);PANGKAT(Normalisasi!$N$4-Konvergensi!$F$649;2);PANGKAT(Normalisasi!$O$4-Konvergensi!$G$649;2);PANGKAT(Normalisasi!$P$4-Konvergensi!$H$649;2)))</f>
        <v/>
      </c>
      <c r="D663">
        <f>AKAR(JUMLAH(PANGKAT(Normalisasi!$J$4-Konvergensi!$B$650;2);PANGKAT(Normalisasi!$K$4-Konvergensi!$C$650;2);PANGKAT(Normalisasi!$L$4-Konvergensi!$D$650;2);PANGKAT(Normalisasi!$M$4-Konvergensi!$E$650;2);PANGKAT(Normalisasi!$N$4-Konvergensi!$F$650;2);PANGKAT(Normalisasi!$O$4-Konvergensi!$G$650;2);PANGKAT(Normalisasi!$P$4-Konvergensi!$H$650;2)))</f>
        <v/>
      </c>
      <c r="E663">
        <f>AKAR(JUMLAH(PANGKAT(Normalisasi!$J$4-Konvergensi!$B$651;2);PANGKAT(Normalisasi!$K$4-Konvergensi!$C$651;2);PANGKAT(Normalisasi!$L$4-Konvergensi!$D$651;2);PANGKAT(Normalisasi!$M$4-Konvergensi!$E$651;2);PANGKAT(Normalisasi!$N$4-Konvergensi!$F$651;2);PANGKAT(Normalisasi!$O$4-Konvergensi!$G$651;2);PANGKAT(Normalisasi!$P$4-Konvergensi!$H$651;2)))</f>
        <v/>
      </c>
      <c r="F663">
        <f>JIKA(C663&lt;=D663;=JIKA(C663&lt;=E663;0;2);=JIKA(D663&lt;=E663;1;2))</f>
        <v/>
      </c>
      <c r="G663">
        <f>JUMLAH(JIKA(F663=0;JUMLAH(PANGKAT(Normalisasi!$J$4-Konvergensi!$B$714;2);PANGKAT(Normalisasi!$K$4-Konvergensi!$C$714;2);PANGKAT(Normalisasi!$L$4-Konvergensi!$D$714;2);PANGKAT(Normalisasi!$M$4-Konvergensi!$E$714;2);PANGKAT(Normalisasi!$N$4-Konvergensi!$F$714;2);PANGKAT(Normalisasi!$O$4-Konvergensi!$G$714;2);PANGKAT(Normalisasi!$P$4-Konvergensi!$H$714;2));0);JIKA(F663=1;JUMLAH(PANGKAT(Normalisasi!$J$4-Konvergensi!$B$715;2);PANGKAT(Normalisasi!$K$4-Konvergensi!$C$715;2);PANGKAT(Normalisasi!$L$4-Konvergensi!$D$715;2);PANGKAT(Normalisasi!$M$4-Konvergensi!$E$715;2);PANGKAT(Normalisasi!$N$4-Konvergensi!$F$715;2);PANGKAT(Normalisasi!$O$4-Konvergensi!$G$715;2);PANGKAT(Normalisasi!$P$4-Konvergensi!$H$715;2));0);JIKA(F663=2;JUMLAH(PANGKAT(Normalisasi!$J$4-Konvergensi!$B$716;2);PANGKAT(Normalisasi!$K$4-Konvergensi!$C$716;2);PANGKAT(Normalisasi!$L$4-Konvergensi!$D$716;2);PANGKAT(Normalisasi!$M$4-Konvergensi!$E$716;2);PANGKAT(Normalisasi!$N$4-Konvergensi!$F$716;2);PANGKAT(Normalisasi!$O$4-Konvergensi!$G$716;2);PANGKAT(Normalisasi!$P$4-Konvergensi!$H$716;2));0))</f>
        <v/>
      </c>
      <c r="H663" t="n">
        <v>1</v>
      </c>
      <c r="I663" t="n">
        <v>5.699312262706178</v>
      </c>
    </row>
    <row r="664">
      <c r="A664">
        <f>Data_Awal!A5</f>
        <v/>
      </c>
      <c r="B664">
        <f>Data_Awal!B5</f>
        <v/>
      </c>
      <c r="C664">
        <f>AKAR(JUMLAH(PANGKAT(Normalisasi!$J$5-Konvergensi!$B$649;2);PANGKAT(Normalisasi!$K$5-Konvergensi!$C$649;2);PANGKAT(Normalisasi!$L$5-Konvergensi!$D$649;2);PANGKAT(Normalisasi!$M$5-Konvergensi!$E$649;2);PANGKAT(Normalisasi!$N$5-Konvergensi!$F$649;2);PANGKAT(Normalisasi!$O$5-Konvergensi!$G$649;2);PANGKAT(Normalisasi!$P$5-Konvergensi!$H$649;2)))</f>
        <v/>
      </c>
      <c r="D664">
        <f>AKAR(JUMLAH(PANGKAT(Normalisasi!$J$5-Konvergensi!$B$650;2);PANGKAT(Normalisasi!$K$5-Konvergensi!$C$650;2);PANGKAT(Normalisasi!$L$5-Konvergensi!$D$650;2);PANGKAT(Normalisasi!$M$5-Konvergensi!$E$650;2);PANGKAT(Normalisasi!$N$5-Konvergensi!$F$650;2);PANGKAT(Normalisasi!$O$5-Konvergensi!$G$650;2);PANGKAT(Normalisasi!$P$5-Konvergensi!$H$650;2)))</f>
        <v/>
      </c>
      <c r="E664">
        <f>AKAR(JUMLAH(PANGKAT(Normalisasi!$J$5-Konvergensi!$B$651;2);PANGKAT(Normalisasi!$K$5-Konvergensi!$C$651;2);PANGKAT(Normalisasi!$L$5-Konvergensi!$D$651;2);PANGKAT(Normalisasi!$M$5-Konvergensi!$E$651;2);PANGKAT(Normalisasi!$N$5-Konvergensi!$F$651;2);PANGKAT(Normalisasi!$O$5-Konvergensi!$G$651;2);PANGKAT(Normalisasi!$P$5-Konvergensi!$H$651;2)))</f>
        <v/>
      </c>
      <c r="F664">
        <f>JIKA(C664&lt;=D664;=JIKA(C664&lt;=E664;0;2);=JIKA(D664&lt;=E664;1;2))</f>
        <v/>
      </c>
      <c r="G664">
        <f>JUMLAH(JIKA(F664=0;JUMLAH(PANGKAT(Normalisasi!$J$5-Konvergensi!$B$714;2);PANGKAT(Normalisasi!$K$5-Konvergensi!$C$714;2);PANGKAT(Normalisasi!$L$5-Konvergensi!$D$714;2);PANGKAT(Normalisasi!$M$5-Konvergensi!$E$714;2);PANGKAT(Normalisasi!$N$5-Konvergensi!$F$714;2);PANGKAT(Normalisasi!$O$5-Konvergensi!$G$714;2);PANGKAT(Normalisasi!$P$5-Konvergensi!$H$714;2));0);JIKA(F664=1;JUMLAH(PANGKAT(Normalisasi!$J$5-Konvergensi!$B$715;2);PANGKAT(Normalisasi!$K$5-Konvergensi!$C$715;2);PANGKAT(Normalisasi!$L$5-Konvergensi!$D$715;2);PANGKAT(Normalisasi!$M$5-Konvergensi!$E$715;2);PANGKAT(Normalisasi!$N$5-Konvergensi!$F$715;2);PANGKAT(Normalisasi!$O$5-Konvergensi!$G$715;2);PANGKAT(Normalisasi!$P$5-Konvergensi!$H$715;2));0);JIKA(F664=2;JUMLAH(PANGKAT(Normalisasi!$J$5-Konvergensi!$B$716;2);PANGKAT(Normalisasi!$K$5-Konvergensi!$C$716;2);PANGKAT(Normalisasi!$L$5-Konvergensi!$D$716;2);PANGKAT(Normalisasi!$M$5-Konvergensi!$E$716;2);PANGKAT(Normalisasi!$N$5-Konvergensi!$F$716;2);PANGKAT(Normalisasi!$O$5-Konvergensi!$G$716;2);PANGKAT(Normalisasi!$P$5-Konvergensi!$H$716;2));0))</f>
        <v/>
      </c>
      <c r="H664" t="n">
        <v>0</v>
      </c>
      <c r="I664" t="n">
        <v>5.705601018088053</v>
      </c>
    </row>
    <row r="665">
      <c r="A665">
        <f>Data_Awal!A6</f>
        <v/>
      </c>
      <c r="B665">
        <f>Data_Awal!B6</f>
        <v/>
      </c>
      <c r="C665">
        <f>AKAR(JUMLAH(PANGKAT(Normalisasi!$J$6-Konvergensi!$B$649;2);PANGKAT(Normalisasi!$K$6-Konvergensi!$C$649;2);PANGKAT(Normalisasi!$L$6-Konvergensi!$D$649;2);PANGKAT(Normalisasi!$M$6-Konvergensi!$E$649;2);PANGKAT(Normalisasi!$N$6-Konvergensi!$F$649;2);PANGKAT(Normalisasi!$O$6-Konvergensi!$G$649;2);PANGKAT(Normalisasi!$P$6-Konvergensi!$H$649;2)))</f>
        <v/>
      </c>
      <c r="D665">
        <f>AKAR(JUMLAH(PANGKAT(Normalisasi!$J$6-Konvergensi!$B$650;2);PANGKAT(Normalisasi!$K$6-Konvergensi!$C$650;2);PANGKAT(Normalisasi!$L$6-Konvergensi!$D$650;2);PANGKAT(Normalisasi!$M$6-Konvergensi!$E$650;2);PANGKAT(Normalisasi!$N$6-Konvergensi!$F$650;2);PANGKAT(Normalisasi!$O$6-Konvergensi!$G$650;2);PANGKAT(Normalisasi!$P$6-Konvergensi!$H$650;2)))</f>
        <v/>
      </c>
      <c r="E665">
        <f>AKAR(JUMLAH(PANGKAT(Normalisasi!$J$6-Konvergensi!$B$651;2);PANGKAT(Normalisasi!$K$6-Konvergensi!$C$651;2);PANGKAT(Normalisasi!$L$6-Konvergensi!$D$651;2);PANGKAT(Normalisasi!$M$6-Konvergensi!$E$651;2);PANGKAT(Normalisasi!$N$6-Konvergensi!$F$651;2);PANGKAT(Normalisasi!$O$6-Konvergensi!$G$651;2);PANGKAT(Normalisasi!$P$6-Konvergensi!$H$651;2)))</f>
        <v/>
      </c>
      <c r="F665">
        <f>JIKA(C665&lt;=D665;=JIKA(C665&lt;=E665;0;2);=JIKA(D665&lt;=E665;1;2))</f>
        <v/>
      </c>
      <c r="G665">
        <f>JUMLAH(JIKA(F665=0;JUMLAH(PANGKAT(Normalisasi!$J$6-Konvergensi!$B$714;2);PANGKAT(Normalisasi!$K$6-Konvergensi!$C$714;2);PANGKAT(Normalisasi!$L$6-Konvergensi!$D$714;2);PANGKAT(Normalisasi!$M$6-Konvergensi!$E$714;2);PANGKAT(Normalisasi!$N$6-Konvergensi!$F$714;2);PANGKAT(Normalisasi!$O$6-Konvergensi!$G$714;2);PANGKAT(Normalisasi!$P$6-Konvergensi!$H$714;2));0);JIKA(F665=1;JUMLAH(PANGKAT(Normalisasi!$J$6-Konvergensi!$B$715;2);PANGKAT(Normalisasi!$K$6-Konvergensi!$C$715;2);PANGKAT(Normalisasi!$L$6-Konvergensi!$D$715;2);PANGKAT(Normalisasi!$M$6-Konvergensi!$E$715;2);PANGKAT(Normalisasi!$N$6-Konvergensi!$F$715;2);PANGKAT(Normalisasi!$O$6-Konvergensi!$G$715;2);PANGKAT(Normalisasi!$P$6-Konvergensi!$H$715;2));0);JIKA(F665=2;JUMLAH(PANGKAT(Normalisasi!$J$6-Konvergensi!$B$716;2);PANGKAT(Normalisasi!$K$6-Konvergensi!$C$716;2);PANGKAT(Normalisasi!$L$6-Konvergensi!$D$716;2);PANGKAT(Normalisasi!$M$6-Konvergensi!$E$716;2);PANGKAT(Normalisasi!$N$6-Konvergensi!$F$716;2);PANGKAT(Normalisasi!$O$6-Konvergensi!$G$716;2);PANGKAT(Normalisasi!$P$6-Konvergensi!$H$716;2));0))</f>
        <v/>
      </c>
      <c r="H665" t="n">
        <v>0</v>
      </c>
      <c r="I665" t="n">
        <v>5.372559188598953</v>
      </c>
    </row>
    <row r="666">
      <c r="A666">
        <f>Data_Awal!A7</f>
        <v/>
      </c>
      <c r="B666">
        <f>Data_Awal!B7</f>
        <v/>
      </c>
      <c r="C666">
        <f>AKAR(JUMLAH(PANGKAT(Normalisasi!$J$7-Konvergensi!$B$649;2);PANGKAT(Normalisasi!$K$7-Konvergensi!$C$649;2);PANGKAT(Normalisasi!$L$7-Konvergensi!$D$649;2);PANGKAT(Normalisasi!$M$7-Konvergensi!$E$649;2);PANGKAT(Normalisasi!$N$7-Konvergensi!$F$649;2);PANGKAT(Normalisasi!$O$7-Konvergensi!$G$649;2);PANGKAT(Normalisasi!$P$7-Konvergensi!$H$649;2)))</f>
        <v/>
      </c>
      <c r="D666">
        <f>AKAR(JUMLAH(PANGKAT(Normalisasi!$J$7-Konvergensi!$B$650;2);PANGKAT(Normalisasi!$K$7-Konvergensi!$C$650;2);PANGKAT(Normalisasi!$L$7-Konvergensi!$D$650;2);PANGKAT(Normalisasi!$M$7-Konvergensi!$E$650;2);PANGKAT(Normalisasi!$N$7-Konvergensi!$F$650;2);PANGKAT(Normalisasi!$O$7-Konvergensi!$G$650;2);PANGKAT(Normalisasi!$P$7-Konvergensi!$H$650;2)))</f>
        <v/>
      </c>
      <c r="E666">
        <f>AKAR(JUMLAH(PANGKAT(Normalisasi!$J$7-Konvergensi!$B$651;2);PANGKAT(Normalisasi!$K$7-Konvergensi!$C$651;2);PANGKAT(Normalisasi!$L$7-Konvergensi!$D$651;2);PANGKAT(Normalisasi!$M$7-Konvergensi!$E$651;2);PANGKAT(Normalisasi!$N$7-Konvergensi!$F$651;2);PANGKAT(Normalisasi!$O$7-Konvergensi!$G$651;2);PANGKAT(Normalisasi!$P$7-Konvergensi!$H$651;2)))</f>
        <v/>
      </c>
      <c r="F666">
        <f>JIKA(C666&lt;=D666;=JIKA(C666&lt;=E666;0;2);=JIKA(D666&lt;=E666;1;2))</f>
        <v/>
      </c>
      <c r="G666">
        <f>JUMLAH(JIKA(F666=0;JUMLAH(PANGKAT(Normalisasi!$J$7-Konvergensi!$B$714;2);PANGKAT(Normalisasi!$K$7-Konvergensi!$C$714;2);PANGKAT(Normalisasi!$L$7-Konvergensi!$D$714;2);PANGKAT(Normalisasi!$M$7-Konvergensi!$E$714;2);PANGKAT(Normalisasi!$N$7-Konvergensi!$F$714;2);PANGKAT(Normalisasi!$O$7-Konvergensi!$G$714;2);PANGKAT(Normalisasi!$P$7-Konvergensi!$H$714;2));0);JIKA(F666=1;JUMLAH(PANGKAT(Normalisasi!$J$7-Konvergensi!$B$715;2);PANGKAT(Normalisasi!$K$7-Konvergensi!$C$715;2);PANGKAT(Normalisasi!$L$7-Konvergensi!$D$715;2);PANGKAT(Normalisasi!$M$7-Konvergensi!$E$715;2);PANGKAT(Normalisasi!$N$7-Konvergensi!$F$715;2);PANGKAT(Normalisasi!$O$7-Konvergensi!$G$715;2);PANGKAT(Normalisasi!$P$7-Konvergensi!$H$715;2));0);JIKA(F666=2;JUMLAH(PANGKAT(Normalisasi!$J$7-Konvergensi!$B$716;2);PANGKAT(Normalisasi!$K$7-Konvergensi!$C$716;2);PANGKAT(Normalisasi!$L$7-Konvergensi!$D$716;2);PANGKAT(Normalisasi!$M$7-Konvergensi!$E$716;2);PANGKAT(Normalisasi!$N$7-Konvergensi!$F$716;2);PANGKAT(Normalisasi!$O$7-Konvergensi!$G$716;2);PANGKAT(Normalisasi!$P$7-Konvergensi!$H$716;2));0))</f>
        <v/>
      </c>
      <c r="H666" t="n">
        <v>2</v>
      </c>
      <c r="I666" t="n">
        <v>5.863361028993086</v>
      </c>
    </row>
    <row r="667">
      <c r="A667">
        <f>Data_Awal!A8</f>
        <v/>
      </c>
      <c r="B667">
        <f>Data_Awal!B8</f>
        <v/>
      </c>
      <c r="C667">
        <f>AKAR(JUMLAH(PANGKAT(Normalisasi!$J$8-Konvergensi!$B$649;2);PANGKAT(Normalisasi!$K$8-Konvergensi!$C$649;2);PANGKAT(Normalisasi!$L$8-Konvergensi!$D$649;2);PANGKAT(Normalisasi!$M$8-Konvergensi!$E$649;2);PANGKAT(Normalisasi!$N$8-Konvergensi!$F$649;2);PANGKAT(Normalisasi!$O$8-Konvergensi!$G$649;2);PANGKAT(Normalisasi!$P$8-Konvergensi!$H$649;2)))</f>
        <v/>
      </c>
      <c r="D667">
        <f>AKAR(JUMLAH(PANGKAT(Normalisasi!$J$8-Konvergensi!$B$650;2);PANGKAT(Normalisasi!$K$8-Konvergensi!$C$650;2);PANGKAT(Normalisasi!$L$8-Konvergensi!$D$650;2);PANGKAT(Normalisasi!$M$8-Konvergensi!$E$650;2);PANGKAT(Normalisasi!$N$8-Konvergensi!$F$650;2);PANGKAT(Normalisasi!$O$8-Konvergensi!$G$650;2);PANGKAT(Normalisasi!$P$8-Konvergensi!$H$650;2)))</f>
        <v/>
      </c>
      <c r="E667">
        <f>AKAR(JUMLAH(PANGKAT(Normalisasi!$J$8-Konvergensi!$B$651;2);PANGKAT(Normalisasi!$K$8-Konvergensi!$C$651;2);PANGKAT(Normalisasi!$L$8-Konvergensi!$D$651;2);PANGKAT(Normalisasi!$M$8-Konvergensi!$E$651;2);PANGKAT(Normalisasi!$N$8-Konvergensi!$F$651;2);PANGKAT(Normalisasi!$O$8-Konvergensi!$G$651;2);PANGKAT(Normalisasi!$P$8-Konvergensi!$H$651;2)))</f>
        <v/>
      </c>
      <c r="F667">
        <f>JIKA(C667&lt;=D667;=JIKA(C667&lt;=E667;0;2);=JIKA(D667&lt;=E667;1;2))</f>
        <v/>
      </c>
      <c r="G667">
        <f>JUMLAH(JIKA(F667=0;JUMLAH(PANGKAT(Normalisasi!$J$8-Konvergensi!$B$714;2);PANGKAT(Normalisasi!$K$8-Konvergensi!$C$714;2);PANGKAT(Normalisasi!$L$8-Konvergensi!$D$714;2);PANGKAT(Normalisasi!$M$8-Konvergensi!$E$714;2);PANGKAT(Normalisasi!$N$8-Konvergensi!$F$714;2);PANGKAT(Normalisasi!$O$8-Konvergensi!$G$714;2);PANGKAT(Normalisasi!$P$8-Konvergensi!$H$714;2));0);JIKA(F667=1;JUMLAH(PANGKAT(Normalisasi!$J$8-Konvergensi!$B$715;2);PANGKAT(Normalisasi!$K$8-Konvergensi!$C$715;2);PANGKAT(Normalisasi!$L$8-Konvergensi!$D$715;2);PANGKAT(Normalisasi!$M$8-Konvergensi!$E$715;2);PANGKAT(Normalisasi!$N$8-Konvergensi!$F$715;2);PANGKAT(Normalisasi!$O$8-Konvergensi!$G$715;2);PANGKAT(Normalisasi!$P$8-Konvergensi!$H$715;2));0);JIKA(F667=2;JUMLAH(PANGKAT(Normalisasi!$J$8-Konvergensi!$B$716;2);PANGKAT(Normalisasi!$K$8-Konvergensi!$C$716;2);PANGKAT(Normalisasi!$L$8-Konvergensi!$D$716;2);PANGKAT(Normalisasi!$M$8-Konvergensi!$E$716;2);PANGKAT(Normalisasi!$N$8-Konvergensi!$F$716;2);PANGKAT(Normalisasi!$O$8-Konvergensi!$G$716;2);PANGKAT(Normalisasi!$P$8-Konvergensi!$H$716;2));0))</f>
        <v/>
      </c>
      <c r="H667" t="n">
        <v>0</v>
      </c>
      <c r="I667" t="n">
        <v>7.700230244846358</v>
      </c>
    </row>
    <row r="668">
      <c r="A668">
        <f>Data_Awal!A9</f>
        <v/>
      </c>
      <c r="B668">
        <f>Data_Awal!B9</f>
        <v/>
      </c>
      <c r="C668">
        <f>AKAR(JUMLAH(PANGKAT(Normalisasi!$J$9-Konvergensi!$B$649;2);PANGKAT(Normalisasi!$K$9-Konvergensi!$C$649;2);PANGKAT(Normalisasi!$L$9-Konvergensi!$D$649;2);PANGKAT(Normalisasi!$M$9-Konvergensi!$E$649;2);PANGKAT(Normalisasi!$N$9-Konvergensi!$F$649;2);PANGKAT(Normalisasi!$O$9-Konvergensi!$G$649;2);PANGKAT(Normalisasi!$P$9-Konvergensi!$H$649;2)))</f>
        <v/>
      </c>
      <c r="D668">
        <f>AKAR(JUMLAH(PANGKAT(Normalisasi!$J$9-Konvergensi!$B$650;2);PANGKAT(Normalisasi!$K$9-Konvergensi!$C$650;2);PANGKAT(Normalisasi!$L$9-Konvergensi!$D$650;2);PANGKAT(Normalisasi!$M$9-Konvergensi!$E$650;2);PANGKAT(Normalisasi!$N$9-Konvergensi!$F$650;2);PANGKAT(Normalisasi!$O$9-Konvergensi!$G$650;2);PANGKAT(Normalisasi!$P$9-Konvergensi!$H$650;2)))</f>
        <v/>
      </c>
      <c r="E668">
        <f>AKAR(JUMLAH(PANGKAT(Normalisasi!$J$9-Konvergensi!$B$651;2);PANGKAT(Normalisasi!$K$9-Konvergensi!$C$651;2);PANGKAT(Normalisasi!$L$9-Konvergensi!$D$651;2);PANGKAT(Normalisasi!$M$9-Konvergensi!$E$651;2);PANGKAT(Normalisasi!$N$9-Konvergensi!$F$651;2);PANGKAT(Normalisasi!$O$9-Konvergensi!$G$651;2);PANGKAT(Normalisasi!$P$9-Konvergensi!$H$651;2)))</f>
        <v/>
      </c>
      <c r="F668">
        <f>JIKA(C668&lt;=D668;=JIKA(C668&lt;=E668;0;2);=JIKA(D668&lt;=E668;1;2))</f>
        <v/>
      </c>
      <c r="G668">
        <f>JUMLAH(JIKA(F668=0;JUMLAH(PANGKAT(Normalisasi!$J$9-Konvergensi!$B$714;2);PANGKAT(Normalisasi!$K$9-Konvergensi!$C$714;2);PANGKAT(Normalisasi!$L$9-Konvergensi!$D$714;2);PANGKAT(Normalisasi!$M$9-Konvergensi!$E$714;2);PANGKAT(Normalisasi!$N$9-Konvergensi!$F$714;2);PANGKAT(Normalisasi!$O$9-Konvergensi!$G$714;2);PANGKAT(Normalisasi!$P$9-Konvergensi!$H$714;2));0);JIKA(F668=1;JUMLAH(PANGKAT(Normalisasi!$J$9-Konvergensi!$B$715;2);PANGKAT(Normalisasi!$K$9-Konvergensi!$C$715;2);PANGKAT(Normalisasi!$L$9-Konvergensi!$D$715;2);PANGKAT(Normalisasi!$M$9-Konvergensi!$E$715;2);PANGKAT(Normalisasi!$N$9-Konvergensi!$F$715;2);PANGKAT(Normalisasi!$O$9-Konvergensi!$G$715;2);PANGKAT(Normalisasi!$P$9-Konvergensi!$H$715;2));0);JIKA(F668=2;JUMLAH(PANGKAT(Normalisasi!$J$9-Konvergensi!$B$716;2);PANGKAT(Normalisasi!$K$9-Konvergensi!$C$716;2);PANGKAT(Normalisasi!$L$9-Konvergensi!$D$716;2);PANGKAT(Normalisasi!$M$9-Konvergensi!$E$716;2);PANGKAT(Normalisasi!$N$9-Konvergensi!$F$716;2);PANGKAT(Normalisasi!$O$9-Konvergensi!$G$716;2);PANGKAT(Normalisasi!$P$9-Konvergensi!$H$716;2));0))</f>
        <v/>
      </c>
      <c r="H668" t="n">
        <v>1</v>
      </c>
      <c r="I668" t="n">
        <v>6.846697401376302</v>
      </c>
    </row>
    <row r="669">
      <c r="A669">
        <f>Data_Awal!A10</f>
        <v/>
      </c>
      <c r="B669">
        <f>Data_Awal!B10</f>
        <v/>
      </c>
      <c r="C669">
        <f>AKAR(JUMLAH(PANGKAT(Normalisasi!$J$10-Konvergensi!$B$649;2);PANGKAT(Normalisasi!$K$10-Konvergensi!$C$649;2);PANGKAT(Normalisasi!$L$10-Konvergensi!$D$649;2);PANGKAT(Normalisasi!$M$10-Konvergensi!$E$649;2);PANGKAT(Normalisasi!$N$10-Konvergensi!$F$649;2);PANGKAT(Normalisasi!$O$10-Konvergensi!$G$649;2);PANGKAT(Normalisasi!$P$10-Konvergensi!$H$649;2)))</f>
        <v/>
      </c>
      <c r="D669">
        <f>AKAR(JUMLAH(PANGKAT(Normalisasi!$J$10-Konvergensi!$B$650;2);PANGKAT(Normalisasi!$K$10-Konvergensi!$C$650;2);PANGKAT(Normalisasi!$L$10-Konvergensi!$D$650;2);PANGKAT(Normalisasi!$M$10-Konvergensi!$E$650;2);PANGKAT(Normalisasi!$N$10-Konvergensi!$F$650;2);PANGKAT(Normalisasi!$O$10-Konvergensi!$G$650;2);PANGKAT(Normalisasi!$P$10-Konvergensi!$H$650;2)))</f>
        <v/>
      </c>
      <c r="E669">
        <f>AKAR(JUMLAH(PANGKAT(Normalisasi!$J$10-Konvergensi!$B$651;2);PANGKAT(Normalisasi!$K$10-Konvergensi!$C$651;2);PANGKAT(Normalisasi!$L$10-Konvergensi!$D$651;2);PANGKAT(Normalisasi!$M$10-Konvergensi!$E$651;2);PANGKAT(Normalisasi!$N$10-Konvergensi!$F$651;2);PANGKAT(Normalisasi!$O$10-Konvergensi!$G$651;2);PANGKAT(Normalisasi!$P$10-Konvergensi!$H$651;2)))</f>
        <v/>
      </c>
      <c r="F669">
        <f>JIKA(C669&lt;=D669;=JIKA(C669&lt;=E669;0;2);=JIKA(D669&lt;=E669;1;2))</f>
        <v/>
      </c>
      <c r="G669">
        <f>JUMLAH(JIKA(F669=0;JUMLAH(PANGKAT(Normalisasi!$J$10-Konvergensi!$B$714;2);PANGKAT(Normalisasi!$K$10-Konvergensi!$C$714;2);PANGKAT(Normalisasi!$L$10-Konvergensi!$D$714;2);PANGKAT(Normalisasi!$M$10-Konvergensi!$E$714;2);PANGKAT(Normalisasi!$N$10-Konvergensi!$F$714;2);PANGKAT(Normalisasi!$O$10-Konvergensi!$G$714;2);PANGKAT(Normalisasi!$P$10-Konvergensi!$H$714;2));0);JIKA(F669=1;JUMLAH(PANGKAT(Normalisasi!$J$10-Konvergensi!$B$715;2);PANGKAT(Normalisasi!$K$10-Konvergensi!$C$715;2);PANGKAT(Normalisasi!$L$10-Konvergensi!$D$715;2);PANGKAT(Normalisasi!$M$10-Konvergensi!$E$715;2);PANGKAT(Normalisasi!$N$10-Konvergensi!$F$715;2);PANGKAT(Normalisasi!$O$10-Konvergensi!$G$715;2);PANGKAT(Normalisasi!$P$10-Konvergensi!$H$715;2));0);JIKA(F669=2;JUMLAH(PANGKAT(Normalisasi!$J$10-Konvergensi!$B$716;2);PANGKAT(Normalisasi!$K$10-Konvergensi!$C$716;2);PANGKAT(Normalisasi!$L$10-Konvergensi!$D$716;2);PANGKAT(Normalisasi!$M$10-Konvergensi!$E$716;2);PANGKAT(Normalisasi!$N$10-Konvergensi!$F$716;2);PANGKAT(Normalisasi!$O$10-Konvergensi!$G$716;2);PANGKAT(Normalisasi!$P$10-Konvergensi!$H$716;2));0))</f>
        <v/>
      </c>
      <c r="H669" t="n">
        <v>0</v>
      </c>
      <c r="I669" t="n">
        <v>3.649401167220612</v>
      </c>
    </row>
    <row r="670">
      <c r="A670">
        <f>Data_Awal!A11</f>
        <v/>
      </c>
      <c r="B670">
        <f>Data_Awal!B11</f>
        <v/>
      </c>
      <c r="C670">
        <f>AKAR(JUMLAH(PANGKAT(Normalisasi!$J$11-Konvergensi!$B$649;2);PANGKAT(Normalisasi!$K$11-Konvergensi!$C$649;2);PANGKAT(Normalisasi!$L$11-Konvergensi!$D$649;2);PANGKAT(Normalisasi!$M$11-Konvergensi!$E$649;2);PANGKAT(Normalisasi!$N$11-Konvergensi!$F$649;2);PANGKAT(Normalisasi!$O$11-Konvergensi!$G$649;2);PANGKAT(Normalisasi!$P$11-Konvergensi!$H$649;2)))</f>
        <v/>
      </c>
      <c r="D670">
        <f>AKAR(JUMLAH(PANGKAT(Normalisasi!$J$11-Konvergensi!$B$650;2);PANGKAT(Normalisasi!$K$11-Konvergensi!$C$650;2);PANGKAT(Normalisasi!$L$11-Konvergensi!$D$650;2);PANGKAT(Normalisasi!$M$11-Konvergensi!$E$650;2);PANGKAT(Normalisasi!$N$11-Konvergensi!$F$650;2);PANGKAT(Normalisasi!$O$11-Konvergensi!$G$650;2);PANGKAT(Normalisasi!$P$11-Konvergensi!$H$650;2)))</f>
        <v/>
      </c>
      <c r="E670">
        <f>AKAR(JUMLAH(PANGKAT(Normalisasi!$J$11-Konvergensi!$B$651;2);PANGKAT(Normalisasi!$K$11-Konvergensi!$C$651;2);PANGKAT(Normalisasi!$L$11-Konvergensi!$D$651;2);PANGKAT(Normalisasi!$M$11-Konvergensi!$E$651;2);PANGKAT(Normalisasi!$N$11-Konvergensi!$F$651;2);PANGKAT(Normalisasi!$O$11-Konvergensi!$G$651;2);PANGKAT(Normalisasi!$P$11-Konvergensi!$H$651;2)))</f>
        <v/>
      </c>
      <c r="F670">
        <f>JIKA(C670&lt;=D670;=JIKA(C670&lt;=E670;0;2);=JIKA(D670&lt;=E670;1;2))</f>
        <v/>
      </c>
      <c r="G670">
        <f>JUMLAH(JIKA(F670=0;JUMLAH(PANGKAT(Normalisasi!$J$11-Konvergensi!$B$714;2);PANGKAT(Normalisasi!$K$11-Konvergensi!$C$714;2);PANGKAT(Normalisasi!$L$11-Konvergensi!$D$714;2);PANGKAT(Normalisasi!$M$11-Konvergensi!$E$714;2);PANGKAT(Normalisasi!$N$11-Konvergensi!$F$714;2);PANGKAT(Normalisasi!$O$11-Konvergensi!$G$714;2);PANGKAT(Normalisasi!$P$11-Konvergensi!$H$714;2));0);JIKA(F670=1;JUMLAH(PANGKAT(Normalisasi!$J$11-Konvergensi!$B$715;2);PANGKAT(Normalisasi!$K$11-Konvergensi!$C$715;2);PANGKAT(Normalisasi!$L$11-Konvergensi!$D$715;2);PANGKAT(Normalisasi!$M$11-Konvergensi!$E$715;2);PANGKAT(Normalisasi!$N$11-Konvergensi!$F$715;2);PANGKAT(Normalisasi!$O$11-Konvergensi!$G$715;2);PANGKAT(Normalisasi!$P$11-Konvergensi!$H$715;2));0);JIKA(F670=2;JUMLAH(PANGKAT(Normalisasi!$J$11-Konvergensi!$B$716;2);PANGKAT(Normalisasi!$K$11-Konvergensi!$C$716;2);PANGKAT(Normalisasi!$L$11-Konvergensi!$D$716;2);PANGKAT(Normalisasi!$M$11-Konvergensi!$E$716;2);PANGKAT(Normalisasi!$N$11-Konvergensi!$F$716;2);PANGKAT(Normalisasi!$O$11-Konvergensi!$G$716;2);PANGKAT(Normalisasi!$P$11-Konvergensi!$H$716;2));0))</f>
        <v/>
      </c>
      <c r="H670" t="n">
        <v>1</v>
      </c>
      <c r="I670" t="n">
        <v>1.618477953833825</v>
      </c>
    </row>
    <row r="671">
      <c r="A671">
        <f>Data_Awal!A12</f>
        <v/>
      </c>
      <c r="B671">
        <f>Data_Awal!B12</f>
        <v/>
      </c>
      <c r="C671">
        <f>AKAR(JUMLAH(PANGKAT(Normalisasi!$J$12-Konvergensi!$B$649;2);PANGKAT(Normalisasi!$K$12-Konvergensi!$C$649;2);PANGKAT(Normalisasi!$L$12-Konvergensi!$D$649;2);PANGKAT(Normalisasi!$M$12-Konvergensi!$E$649;2);PANGKAT(Normalisasi!$N$12-Konvergensi!$F$649;2);PANGKAT(Normalisasi!$O$12-Konvergensi!$G$649;2);PANGKAT(Normalisasi!$P$12-Konvergensi!$H$649;2)))</f>
        <v/>
      </c>
      <c r="D671">
        <f>AKAR(JUMLAH(PANGKAT(Normalisasi!$J$12-Konvergensi!$B$650;2);PANGKAT(Normalisasi!$K$12-Konvergensi!$C$650;2);PANGKAT(Normalisasi!$L$12-Konvergensi!$D$650;2);PANGKAT(Normalisasi!$M$12-Konvergensi!$E$650;2);PANGKAT(Normalisasi!$N$12-Konvergensi!$F$650;2);PANGKAT(Normalisasi!$O$12-Konvergensi!$G$650;2);PANGKAT(Normalisasi!$P$12-Konvergensi!$H$650;2)))</f>
        <v/>
      </c>
      <c r="E671">
        <f>AKAR(JUMLAH(PANGKAT(Normalisasi!$J$12-Konvergensi!$B$651;2);PANGKAT(Normalisasi!$K$12-Konvergensi!$C$651;2);PANGKAT(Normalisasi!$L$12-Konvergensi!$D$651;2);PANGKAT(Normalisasi!$M$12-Konvergensi!$E$651;2);PANGKAT(Normalisasi!$N$12-Konvergensi!$F$651;2);PANGKAT(Normalisasi!$O$12-Konvergensi!$G$651;2);PANGKAT(Normalisasi!$P$12-Konvergensi!$H$651;2)))</f>
        <v/>
      </c>
      <c r="F671">
        <f>JIKA(C671&lt;=D671;=JIKA(C671&lt;=E671;0;2);=JIKA(D671&lt;=E671;1;2))</f>
        <v/>
      </c>
      <c r="G671">
        <f>JUMLAH(JIKA(F671=0;JUMLAH(PANGKAT(Normalisasi!$J$12-Konvergensi!$B$714;2);PANGKAT(Normalisasi!$K$12-Konvergensi!$C$714;2);PANGKAT(Normalisasi!$L$12-Konvergensi!$D$714;2);PANGKAT(Normalisasi!$M$12-Konvergensi!$E$714;2);PANGKAT(Normalisasi!$N$12-Konvergensi!$F$714;2);PANGKAT(Normalisasi!$O$12-Konvergensi!$G$714;2);PANGKAT(Normalisasi!$P$12-Konvergensi!$H$714;2));0);JIKA(F671=1;JUMLAH(PANGKAT(Normalisasi!$J$12-Konvergensi!$B$715;2);PANGKAT(Normalisasi!$K$12-Konvergensi!$C$715;2);PANGKAT(Normalisasi!$L$12-Konvergensi!$D$715;2);PANGKAT(Normalisasi!$M$12-Konvergensi!$E$715;2);PANGKAT(Normalisasi!$N$12-Konvergensi!$F$715;2);PANGKAT(Normalisasi!$O$12-Konvergensi!$G$715;2);PANGKAT(Normalisasi!$P$12-Konvergensi!$H$715;2));0);JIKA(F671=2;JUMLAH(PANGKAT(Normalisasi!$J$12-Konvergensi!$B$716;2);PANGKAT(Normalisasi!$K$12-Konvergensi!$C$716;2);PANGKAT(Normalisasi!$L$12-Konvergensi!$D$716;2);PANGKAT(Normalisasi!$M$12-Konvergensi!$E$716;2);PANGKAT(Normalisasi!$N$12-Konvergensi!$F$716;2);PANGKAT(Normalisasi!$O$12-Konvergensi!$G$716;2);PANGKAT(Normalisasi!$P$12-Konvergensi!$H$716;2));0))</f>
        <v/>
      </c>
      <c r="H671" t="n">
        <v>1</v>
      </c>
      <c r="I671" t="n">
        <v>7.96011614729661</v>
      </c>
    </row>
    <row r="672">
      <c r="A672">
        <f>Data_Awal!A13</f>
        <v/>
      </c>
      <c r="B672">
        <f>Data_Awal!B13</f>
        <v/>
      </c>
      <c r="C672">
        <f>AKAR(JUMLAH(PANGKAT(Normalisasi!$J$13-Konvergensi!$B$649;2);PANGKAT(Normalisasi!$K$13-Konvergensi!$C$649;2);PANGKAT(Normalisasi!$L$13-Konvergensi!$D$649;2);PANGKAT(Normalisasi!$M$13-Konvergensi!$E$649;2);PANGKAT(Normalisasi!$N$13-Konvergensi!$F$649;2);PANGKAT(Normalisasi!$O$13-Konvergensi!$G$649;2);PANGKAT(Normalisasi!$P$13-Konvergensi!$H$649;2)))</f>
        <v/>
      </c>
      <c r="D672">
        <f>AKAR(JUMLAH(PANGKAT(Normalisasi!$J$13-Konvergensi!$B$650;2);PANGKAT(Normalisasi!$K$13-Konvergensi!$C$650;2);PANGKAT(Normalisasi!$L$13-Konvergensi!$D$650;2);PANGKAT(Normalisasi!$M$13-Konvergensi!$E$650;2);PANGKAT(Normalisasi!$N$13-Konvergensi!$F$650;2);PANGKAT(Normalisasi!$O$13-Konvergensi!$G$650;2);PANGKAT(Normalisasi!$P$13-Konvergensi!$H$650;2)))</f>
        <v/>
      </c>
      <c r="E672">
        <f>AKAR(JUMLAH(PANGKAT(Normalisasi!$J$13-Konvergensi!$B$651;2);PANGKAT(Normalisasi!$K$13-Konvergensi!$C$651;2);PANGKAT(Normalisasi!$L$13-Konvergensi!$D$651;2);PANGKAT(Normalisasi!$M$13-Konvergensi!$E$651;2);PANGKAT(Normalisasi!$N$13-Konvergensi!$F$651;2);PANGKAT(Normalisasi!$O$13-Konvergensi!$G$651;2);PANGKAT(Normalisasi!$P$13-Konvergensi!$H$651;2)))</f>
        <v/>
      </c>
      <c r="F672">
        <f>JIKA(C672&lt;=D672;=JIKA(C672&lt;=E672;0;2);=JIKA(D672&lt;=E672;1;2))</f>
        <v/>
      </c>
      <c r="G672">
        <f>JUMLAH(JIKA(F672=0;JUMLAH(PANGKAT(Normalisasi!$J$13-Konvergensi!$B$714;2);PANGKAT(Normalisasi!$K$13-Konvergensi!$C$714;2);PANGKAT(Normalisasi!$L$13-Konvergensi!$D$714;2);PANGKAT(Normalisasi!$M$13-Konvergensi!$E$714;2);PANGKAT(Normalisasi!$N$13-Konvergensi!$F$714;2);PANGKAT(Normalisasi!$O$13-Konvergensi!$G$714;2);PANGKAT(Normalisasi!$P$13-Konvergensi!$H$714;2));0);JIKA(F672=1;JUMLAH(PANGKAT(Normalisasi!$J$13-Konvergensi!$B$715;2);PANGKAT(Normalisasi!$K$13-Konvergensi!$C$715;2);PANGKAT(Normalisasi!$L$13-Konvergensi!$D$715;2);PANGKAT(Normalisasi!$M$13-Konvergensi!$E$715;2);PANGKAT(Normalisasi!$N$13-Konvergensi!$F$715;2);PANGKAT(Normalisasi!$O$13-Konvergensi!$G$715;2);PANGKAT(Normalisasi!$P$13-Konvergensi!$H$715;2));0);JIKA(F672=2;JUMLAH(PANGKAT(Normalisasi!$J$13-Konvergensi!$B$716;2);PANGKAT(Normalisasi!$K$13-Konvergensi!$C$716;2);PANGKAT(Normalisasi!$L$13-Konvergensi!$D$716;2);PANGKAT(Normalisasi!$M$13-Konvergensi!$E$716;2);PANGKAT(Normalisasi!$N$13-Konvergensi!$F$716;2);PANGKAT(Normalisasi!$O$13-Konvergensi!$G$716;2);PANGKAT(Normalisasi!$P$13-Konvergensi!$H$716;2));0))</f>
        <v/>
      </c>
      <c r="H672" t="n">
        <v>1</v>
      </c>
      <c r="I672" t="n">
        <v>7.020823881391489</v>
      </c>
    </row>
    <row r="673">
      <c r="A673">
        <f>Data_Awal!A14</f>
        <v/>
      </c>
      <c r="B673">
        <f>Data_Awal!B14</f>
        <v/>
      </c>
      <c r="C673">
        <f>AKAR(JUMLAH(PANGKAT(Normalisasi!$J$14-Konvergensi!$B$649;2);PANGKAT(Normalisasi!$K$14-Konvergensi!$C$649;2);PANGKAT(Normalisasi!$L$14-Konvergensi!$D$649;2);PANGKAT(Normalisasi!$M$14-Konvergensi!$E$649;2);PANGKAT(Normalisasi!$N$14-Konvergensi!$F$649;2);PANGKAT(Normalisasi!$O$14-Konvergensi!$G$649;2);PANGKAT(Normalisasi!$P$14-Konvergensi!$H$649;2)))</f>
        <v/>
      </c>
      <c r="D673">
        <f>AKAR(JUMLAH(PANGKAT(Normalisasi!$J$14-Konvergensi!$B$650;2);PANGKAT(Normalisasi!$K$14-Konvergensi!$C$650;2);PANGKAT(Normalisasi!$L$14-Konvergensi!$D$650;2);PANGKAT(Normalisasi!$M$14-Konvergensi!$E$650;2);PANGKAT(Normalisasi!$N$14-Konvergensi!$F$650;2);PANGKAT(Normalisasi!$O$14-Konvergensi!$G$650;2);PANGKAT(Normalisasi!$P$14-Konvergensi!$H$650;2)))</f>
        <v/>
      </c>
      <c r="E673">
        <f>AKAR(JUMLAH(PANGKAT(Normalisasi!$J$14-Konvergensi!$B$651;2);PANGKAT(Normalisasi!$K$14-Konvergensi!$C$651;2);PANGKAT(Normalisasi!$L$14-Konvergensi!$D$651;2);PANGKAT(Normalisasi!$M$14-Konvergensi!$E$651;2);PANGKAT(Normalisasi!$N$14-Konvergensi!$F$651;2);PANGKAT(Normalisasi!$O$14-Konvergensi!$G$651;2);PANGKAT(Normalisasi!$P$14-Konvergensi!$H$651;2)))</f>
        <v/>
      </c>
      <c r="F673">
        <f>JIKA(C673&lt;=D673;=JIKA(C673&lt;=E673;0;2);=JIKA(D673&lt;=E673;1;2))</f>
        <v/>
      </c>
      <c r="G673">
        <f>JUMLAH(JIKA(F673=0;JUMLAH(PANGKAT(Normalisasi!$J$14-Konvergensi!$B$714;2);PANGKAT(Normalisasi!$K$14-Konvergensi!$C$714;2);PANGKAT(Normalisasi!$L$14-Konvergensi!$D$714;2);PANGKAT(Normalisasi!$M$14-Konvergensi!$E$714;2);PANGKAT(Normalisasi!$N$14-Konvergensi!$F$714;2);PANGKAT(Normalisasi!$O$14-Konvergensi!$G$714;2);PANGKAT(Normalisasi!$P$14-Konvergensi!$H$714;2));0);JIKA(F673=1;JUMLAH(PANGKAT(Normalisasi!$J$14-Konvergensi!$B$715;2);PANGKAT(Normalisasi!$K$14-Konvergensi!$C$715;2);PANGKAT(Normalisasi!$L$14-Konvergensi!$D$715;2);PANGKAT(Normalisasi!$M$14-Konvergensi!$E$715;2);PANGKAT(Normalisasi!$N$14-Konvergensi!$F$715;2);PANGKAT(Normalisasi!$O$14-Konvergensi!$G$715;2);PANGKAT(Normalisasi!$P$14-Konvergensi!$H$715;2));0);JIKA(F673=2;JUMLAH(PANGKAT(Normalisasi!$J$14-Konvergensi!$B$716;2);PANGKAT(Normalisasi!$K$14-Konvergensi!$C$716;2);PANGKAT(Normalisasi!$L$14-Konvergensi!$D$716;2);PANGKAT(Normalisasi!$M$14-Konvergensi!$E$716;2);PANGKAT(Normalisasi!$N$14-Konvergensi!$F$716;2);PANGKAT(Normalisasi!$O$14-Konvergensi!$G$716;2);PANGKAT(Normalisasi!$P$14-Konvergensi!$H$716;2));0))</f>
        <v/>
      </c>
      <c r="H673" t="n">
        <v>2</v>
      </c>
      <c r="I673" t="n">
        <v>4.687753656282752</v>
      </c>
    </row>
    <row r="674">
      <c r="A674">
        <f>Data_Awal!A15</f>
        <v/>
      </c>
      <c r="B674">
        <f>Data_Awal!B15</f>
        <v/>
      </c>
      <c r="C674">
        <f>AKAR(JUMLAH(PANGKAT(Normalisasi!$J$15-Konvergensi!$B$649;2);PANGKAT(Normalisasi!$K$15-Konvergensi!$C$649;2);PANGKAT(Normalisasi!$L$15-Konvergensi!$D$649;2);PANGKAT(Normalisasi!$M$15-Konvergensi!$E$649;2);PANGKAT(Normalisasi!$N$15-Konvergensi!$F$649;2);PANGKAT(Normalisasi!$O$15-Konvergensi!$G$649;2);PANGKAT(Normalisasi!$P$15-Konvergensi!$H$649;2)))</f>
        <v/>
      </c>
      <c r="D674">
        <f>AKAR(JUMLAH(PANGKAT(Normalisasi!$J$15-Konvergensi!$B$650;2);PANGKAT(Normalisasi!$K$15-Konvergensi!$C$650;2);PANGKAT(Normalisasi!$L$15-Konvergensi!$D$650;2);PANGKAT(Normalisasi!$M$15-Konvergensi!$E$650;2);PANGKAT(Normalisasi!$N$15-Konvergensi!$F$650;2);PANGKAT(Normalisasi!$O$15-Konvergensi!$G$650;2);PANGKAT(Normalisasi!$P$15-Konvergensi!$H$650;2)))</f>
        <v/>
      </c>
      <c r="E674">
        <f>AKAR(JUMLAH(PANGKAT(Normalisasi!$J$15-Konvergensi!$B$651;2);PANGKAT(Normalisasi!$K$15-Konvergensi!$C$651;2);PANGKAT(Normalisasi!$L$15-Konvergensi!$D$651;2);PANGKAT(Normalisasi!$M$15-Konvergensi!$E$651;2);PANGKAT(Normalisasi!$N$15-Konvergensi!$F$651;2);PANGKAT(Normalisasi!$O$15-Konvergensi!$G$651;2);PANGKAT(Normalisasi!$P$15-Konvergensi!$H$651;2)))</f>
        <v/>
      </c>
      <c r="F674">
        <f>JIKA(C674&lt;=D674;=JIKA(C674&lt;=E674;0;2);=JIKA(D674&lt;=E674;1;2))</f>
        <v/>
      </c>
      <c r="G674">
        <f>JUMLAH(JIKA(F674=0;JUMLAH(PANGKAT(Normalisasi!$J$15-Konvergensi!$B$714;2);PANGKAT(Normalisasi!$K$15-Konvergensi!$C$714;2);PANGKAT(Normalisasi!$L$15-Konvergensi!$D$714;2);PANGKAT(Normalisasi!$M$15-Konvergensi!$E$714;2);PANGKAT(Normalisasi!$N$15-Konvergensi!$F$714;2);PANGKAT(Normalisasi!$O$15-Konvergensi!$G$714;2);PANGKAT(Normalisasi!$P$15-Konvergensi!$H$714;2));0);JIKA(F674=1;JUMLAH(PANGKAT(Normalisasi!$J$15-Konvergensi!$B$715;2);PANGKAT(Normalisasi!$K$15-Konvergensi!$C$715;2);PANGKAT(Normalisasi!$L$15-Konvergensi!$D$715;2);PANGKAT(Normalisasi!$M$15-Konvergensi!$E$715;2);PANGKAT(Normalisasi!$N$15-Konvergensi!$F$715;2);PANGKAT(Normalisasi!$O$15-Konvergensi!$G$715;2);PANGKAT(Normalisasi!$P$15-Konvergensi!$H$715;2));0);JIKA(F674=2;JUMLAH(PANGKAT(Normalisasi!$J$15-Konvergensi!$B$716;2);PANGKAT(Normalisasi!$K$15-Konvergensi!$C$716;2);PANGKAT(Normalisasi!$L$15-Konvergensi!$D$716;2);PANGKAT(Normalisasi!$M$15-Konvergensi!$E$716;2);PANGKAT(Normalisasi!$N$15-Konvergensi!$F$716;2);PANGKAT(Normalisasi!$O$15-Konvergensi!$G$716;2);PANGKAT(Normalisasi!$P$15-Konvergensi!$H$716;2));0))</f>
        <v/>
      </c>
      <c r="H674" t="n">
        <v>0</v>
      </c>
      <c r="I674" t="n">
        <v>2.925832430309646</v>
      </c>
    </row>
    <row r="675">
      <c r="A675">
        <f>Data_Awal!A16</f>
        <v/>
      </c>
      <c r="B675">
        <f>Data_Awal!B16</f>
        <v/>
      </c>
      <c r="C675">
        <f>AKAR(JUMLAH(PANGKAT(Normalisasi!$J$16-Konvergensi!$B$649;2);PANGKAT(Normalisasi!$K$16-Konvergensi!$C$649;2);PANGKAT(Normalisasi!$L$16-Konvergensi!$D$649;2);PANGKAT(Normalisasi!$M$16-Konvergensi!$E$649;2);PANGKAT(Normalisasi!$N$16-Konvergensi!$F$649;2);PANGKAT(Normalisasi!$O$16-Konvergensi!$G$649;2);PANGKAT(Normalisasi!$P$16-Konvergensi!$H$649;2)))</f>
        <v/>
      </c>
      <c r="D675">
        <f>AKAR(JUMLAH(PANGKAT(Normalisasi!$J$16-Konvergensi!$B$650;2);PANGKAT(Normalisasi!$K$16-Konvergensi!$C$650;2);PANGKAT(Normalisasi!$L$16-Konvergensi!$D$650;2);PANGKAT(Normalisasi!$M$16-Konvergensi!$E$650;2);PANGKAT(Normalisasi!$N$16-Konvergensi!$F$650;2);PANGKAT(Normalisasi!$O$16-Konvergensi!$G$650;2);PANGKAT(Normalisasi!$P$16-Konvergensi!$H$650;2)))</f>
        <v/>
      </c>
      <c r="E675">
        <f>AKAR(JUMLAH(PANGKAT(Normalisasi!$J$16-Konvergensi!$B$651;2);PANGKAT(Normalisasi!$K$16-Konvergensi!$C$651;2);PANGKAT(Normalisasi!$L$16-Konvergensi!$D$651;2);PANGKAT(Normalisasi!$M$16-Konvergensi!$E$651;2);PANGKAT(Normalisasi!$N$16-Konvergensi!$F$651;2);PANGKAT(Normalisasi!$O$16-Konvergensi!$G$651;2);PANGKAT(Normalisasi!$P$16-Konvergensi!$H$651;2)))</f>
        <v/>
      </c>
      <c r="F675">
        <f>JIKA(C675&lt;=D675;=JIKA(C675&lt;=E675;0;2);=JIKA(D675&lt;=E675;1;2))</f>
        <v/>
      </c>
      <c r="G675">
        <f>JUMLAH(JIKA(F675=0;JUMLAH(PANGKAT(Normalisasi!$J$16-Konvergensi!$B$714;2);PANGKAT(Normalisasi!$K$16-Konvergensi!$C$714;2);PANGKAT(Normalisasi!$L$16-Konvergensi!$D$714;2);PANGKAT(Normalisasi!$M$16-Konvergensi!$E$714;2);PANGKAT(Normalisasi!$N$16-Konvergensi!$F$714;2);PANGKAT(Normalisasi!$O$16-Konvergensi!$G$714;2);PANGKAT(Normalisasi!$P$16-Konvergensi!$H$714;2));0);JIKA(F675=1;JUMLAH(PANGKAT(Normalisasi!$J$16-Konvergensi!$B$715;2);PANGKAT(Normalisasi!$K$16-Konvergensi!$C$715;2);PANGKAT(Normalisasi!$L$16-Konvergensi!$D$715;2);PANGKAT(Normalisasi!$M$16-Konvergensi!$E$715;2);PANGKAT(Normalisasi!$N$16-Konvergensi!$F$715;2);PANGKAT(Normalisasi!$O$16-Konvergensi!$G$715;2);PANGKAT(Normalisasi!$P$16-Konvergensi!$H$715;2));0);JIKA(F675=2;JUMLAH(PANGKAT(Normalisasi!$J$16-Konvergensi!$B$716;2);PANGKAT(Normalisasi!$K$16-Konvergensi!$C$716;2);PANGKAT(Normalisasi!$L$16-Konvergensi!$D$716;2);PANGKAT(Normalisasi!$M$16-Konvergensi!$E$716;2);PANGKAT(Normalisasi!$N$16-Konvergensi!$F$716;2);PANGKAT(Normalisasi!$O$16-Konvergensi!$G$716;2);PANGKAT(Normalisasi!$P$16-Konvergensi!$H$716;2));0))</f>
        <v/>
      </c>
      <c r="H675" t="n">
        <v>1</v>
      </c>
      <c r="I675" t="n">
        <v>7.769736498415128</v>
      </c>
    </row>
    <row r="676">
      <c r="A676">
        <f>Data_Awal!A17</f>
        <v/>
      </c>
      <c r="B676">
        <f>Data_Awal!B17</f>
        <v/>
      </c>
      <c r="C676">
        <f>AKAR(JUMLAH(PANGKAT(Normalisasi!$J$17-Konvergensi!$B$649;2);PANGKAT(Normalisasi!$K$17-Konvergensi!$C$649;2);PANGKAT(Normalisasi!$L$17-Konvergensi!$D$649;2);PANGKAT(Normalisasi!$M$17-Konvergensi!$E$649;2);PANGKAT(Normalisasi!$N$17-Konvergensi!$F$649;2);PANGKAT(Normalisasi!$O$17-Konvergensi!$G$649;2);PANGKAT(Normalisasi!$P$17-Konvergensi!$H$649;2)))</f>
        <v/>
      </c>
      <c r="D676">
        <f>AKAR(JUMLAH(PANGKAT(Normalisasi!$J$17-Konvergensi!$B$650;2);PANGKAT(Normalisasi!$K$17-Konvergensi!$C$650;2);PANGKAT(Normalisasi!$L$17-Konvergensi!$D$650;2);PANGKAT(Normalisasi!$M$17-Konvergensi!$E$650;2);PANGKAT(Normalisasi!$N$17-Konvergensi!$F$650;2);PANGKAT(Normalisasi!$O$17-Konvergensi!$G$650;2);PANGKAT(Normalisasi!$P$17-Konvergensi!$H$650;2)))</f>
        <v/>
      </c>
      <c r="E676">
        <f>AKAR(JUMLAH(PANGKAT(Normalisasi!$J$17-Konvergensi!$B$651;2);PANGKAT(Normalisasi!$K$17-Konvergensi!$C$651;2);PANGKAT(Normalisasi!$L$17-Konvergensi!$D$651;2);PANGKAT(Normalisasi!$M$17-Konvergensi!$E$651;2);PANGKAT(Normalisasi!$N$17-Konvergensi!$F$651;2);PANGKAT(Normalisasi!$O$17-Konvergensi!$G$651;2);PANGKAT(Normalisasi!$P$17-Konvergensi!$H$651;2)))</f>
        <v/>
      </c>
      <c r="F676">
        <f>JIKA(C676&lt;=D676;=JIKA(C676&lt;=E676;0;2);=JIKA(D676&lt;=E676;1;2))</f>
        <v/>
      </c>
      <c r="G676">
        <f>JUMLAH(JIKA(F676=0;JUMLAH(PANGKAT(Normalisasi!$J$17-Konvergensi!$B$714;2);PANGKAT(Normalisasi!$K$17-Konvergensi!$C$714;2);PANGKAT(Normalisasi!$L$17-Konvergensi!$D$714;2);PANGKAT(Normalisasi!$M$17-Konvergensi!$E$714;2);PANGKAT(Normalisasi!$N$17-Konvergensi!$F$714;2);PANGKAT(Normalisasi!$O$17-Konvergensi!$G$714;2);PANGKAT(Normalisasi!$P$17-Konvergensi!$H$714;2));0);JIKA(F676=1;JUMLAH(PANGKAT(Normalisasi!$J$17-Konvergensi!$B$715;2);PANGKAT(Normalisasi!$K$17-Konvergensi!$C$715;2);PANGKAT(Normalisasi!$L$17-Konvergensi!$D$715;2);PANGKAT(Normalisasi!$M$17-Konvergensi!$E$715;2);PANGKAT(Normalisasi!$N$17-Konvergensi!$F$715;2);PANGKAT(Normalisasi!$O$17-Konvergensi!$G$715;2);PANGKAT(Normalisasi!$P$17-Konvergensi!$H$715;2));0);JIKA(F676=2;JUMLAH(PANGKAT(Normalisasi!$J$17-Konvergensi!$B$716;2);PANGKAT(Normalisasi!$K$17-Konvergensi!$C$716;2);PANGKAT(Normalisasi!$L$17-Konvergensi!$D$716;2);PANGKAT(Normalisasi!$M$17-Konvergensi!$E$716;2);PANGKAT(Normalisasi!$N$17-Konvergensi!$F$716;2);PANGKAT(Normalisasi!$O$17-Konvergensi!$G$716;2);PANGKAT(Normalisasi!$P$17-Konvergensi!$H$716;2));0))</f>
        <v/>
      </c>
      <c r="H676" t="n">
        <v>1</v>
      </c>
      <c r="I676" t="n">
        <v>3.516929456132632</v>
      </c>
    </row>
    <row r="677">
      <c r="A677">
        <f>Data_Awal!A18</f>
        <v/>
      </c>
      <c r="B677">
        <f>Data_Awal!B18</f>
        <v/>
      </c>
      <c r="C677">
        <f>AKAR(JUMLAH(PANGKAT(Normalisasi!$J$18-Konvergensi!$B$649;2);PANGKAT(Normalisasi!$K$18-Konvergensi!$C$649;2);PANGKAT(Normalisasi!$L$18-Konvergensi!$D$649;2);PANGKAT(Normalisasi!$M$18-Konvergensi!$E$649;2);PANGKAT(Normalisasi!$N$18-Konvergensi!$F$649;2);PANGKAT(Normalisasi!$O$18-Konvergensi!$G$649;2);PANGKAT(Normalisasi!$P$18-Konvergensi!$H$649;2)))</f>
        <v/>
      </c>
      <c r="D677">
        <f>AKAR(JUMLAH(PANGKAT(Normalisasi!$J$18-Konvergensi!$B$650;2);PANGKAT(Normalisasi!$K$18-Konvergensi!$C$650;2);PANGKAT(Normalisasi!$L$18-Konvergensi!$D$650;2);PANGKAT(Normalisasi!$M$18-Konvergensi!$E$650;2);PANGKAT(Normalisasi!$N$18-Konvergensi!$F$650;2);PANGKAT(Normalisasi!$O$18-Konvergensi!$G$650;2);PANGKAT(Normalisasi!$P$18-Konvergensi!$H$650;2)))</f>
        <v/>
      </c>
      <c r="E677">
        <f>AKAR(JUMLAH(PANGKAT(Normalisasi!$J$18-Konvergensi!$B$651;2);PANGKAT(Normalisasi!$K$18-Konvergensi!$C$651;2);PANGKAT(Normalisasi!$L$18-Konvergensi!$D$651;2);PANGKAT(Normalisasi!$M$18-Konvergensi!$E$651;2);PANGKAT(Normalisasi!$N$18-Konvergensi!$F$651;2);PANGKAT(Normalisasi!$O$18-Konvergensi!$G$651;2);PANGKAT(Normalisasi!$P$18-Konvergensi!$H$651;2)))</f>
        <v/>
      </c>
      <c r="F677">
        <f>JIKA(C677&lt;=D677;=JIKA(C677&lt;=E677;0;2);=JIKA(D677&lt;=E677;1;2))</f>
        <v/>
      </c>
      <c r="G677">
        <f>JUMLAH(JIKA(F677=0;JUMLAH(PANGKAT(Normalisasi!$J$18-Konvergensi!$B$714;2);PANGKAT(Normalisasi!$K$18-Konvergensi!$C$714;2);PANGKAT(Normalisasi!$L$18-Konvergensi!$D$714;2);PANGKAT(Normalisasi!$M$18-Konvergensi!$E$714;2);PANGKAT(Normalisasi!$N$18-Konvergensi!$F$714;2);PANGKAT(Normalisasi!$O$18-Konvergensi!$G$714;2);PANGKAT(Normalisasi!$P$18-Konvergensi!$H$714;2));0);JIKA(F677=1;JUMLAH(PANGKAT(Normalisasi!$J$18-Konvergensi!$B$715;2);PANGKAT(Normalisasi!$K$18-Konvergensi!$C$715;2);PANGKAT(Normalisasi!$L$18-Konvergensi!$D$715;2);PANGKAT(Normalisasi!$M$18-Konvergensi!$E$715;2);PANGKAT(Normalisasi!$N$18-Konvergensi!$F$715;2);PANGKAT(Normalisasi!$O$18-Konvergensi!$G$715;2);PANGKAT(Normalisasi!$P$18-Konvergensi!$H$715;2));0);JIKA(F677=2;JUMLAH(PANGKAT(Normalisasi!$J$18-Konvergensi!$B$716;2);PANGKAT(Normalisasi!$K$18-Konvergensi!$C$716;2);PANGKAT(Normalisasi!$L$18-Konvergensi!$D$716;2);PANGKAT(Normalisasi!$M$18-Konvergensi!$E$716;2);PANGKAT(Normalisasi!$N$18-Konvergensi!$F$716;2);PANGKAT(Normalisasi!$O$18-Konvergensi!$G$716;2);PANGKAT(Normalisasi!$P$18-Konvergensi!$H$716;2));0))</f>
        <v/>
      </c>
      <c r="H677" t="n">
        <v>0</v>
      </c>
      <c r="I677" t="n">
        <v>6.242581838611056</v>
      </c>
    </row>
    <row r="678">
      <c r="A678">
        <f>Data_Awal!A19</f>
        <v/>
      </c>
      <c r="B678">
        <f>Data_Awal!B19</f>
        <v/>
      </c>
      <c r="C678">
        <f>AKAR(JUMLAH(PANGKAT(Normalisasi!$J$19-Konvergensi!$B$649;2);PANGKAT(Normalisasi!$K$19-Konvergensi!$C$649;2);PANGKAT(Normalisasi!$L$19-Konvergensi!$D$649;2);PANGKAT(Normalisasi!$M$19-Konvergensi!$E$649;2);PANGKAT(Normalisasi!$N$19-Konvergensi!$F$649;2);PANGKAT(Normalisasi!$O$19-Konvergensi!$G$649;2);PANGKAT(Normalisasi!$P$19-Konvergensi!$H$649;2)))</f>
        <v/>
      </c>
      <c r="D678">
        <f>AKAR(JUMLAH(PANGKAT(Normalisasi!$J$19-Konvergensi!$B$650;2);PANGKAT(Normalisasi!$K$19-Konvergensi!$C$650;2);PANGKAT(Normalisasi!$L$19-Konvergensi!$D$650;2);PANGKAT(Normalisasi!$M$19-Konvergensi!$E$650;2);PANGKAT(Normalisasi!$N$19-Konvergensi!$F$650;2);PANGKAT(Normalisasi!$O$19-Konvergensi!$G$650;2);PANGKAT(Normalisasi!$P$19-Konvergensi!$H$650;2)))</f>
        <v/>
      </c>
      <c r="E678">
        <f>AKAR(JUMLAH(PANGKAT(Normalisasi!$J$19-Konvergensi!$B$651;2);PANGKAT(Normalisasi!$K$19-Konvergensi!$C$651;2);PANGKAT(Normalisasi!$L$19-Konvergensi!$D$651;2);PANGKAT(Normalisasi!$M$19-Konvergensi!$E$651;2);PANGKAT(Normalisasi!$N$19-Konvergensi!$F$651;2);PANGKAT(Normalisasi!$O$19-Konvergensi!$G$651;2);PANGKAT(Normalisasi!$P$19-Konvergensi!$H$651;2)))</f>
        <v/>
      </c>
      <c r="F678">
        <f>JIKA(C678&lt;=D678;=JIKA(C678&lt;=E678;0;2);=JIKA(D678&lt;=E678;1;2))</f>
        <v/>
      </c>
      <c r="G678">
        <f>JUMLAH(JIKA(F678=0;JUMLAH(PANGKAT(Normalisasi!$J$19-Konvergensi!$B$714;2);PANGKAT(Normalisasi!$K$19-Konvergensi!$C$714;2);PANGKAT(Normalisasi!$L$19-Konvergensi!$D$714;2);PANGKAT(Normalisasi!$M$19-Konvergensi!$E$714;2);PANGKAT(Normalisasi!$N$19-Konvergensi!$F$714;2);PANGKAT(Normalisasi!$O$19-Konvergensi!$G$714;2);PANGKAT(Normalisasi!$P$19-Konvergensi!$H$714;2));0);JIKA(F678=1;JUMLAH(PANGKAT(Normalisasi!$J$19-Konvergensi!$B$715;2);PANGKAT(Normalisasi!$K$19-Konvergensi!$C$715;2);PANGKAT(Normalisasi!$L$19-Konvergensi!$D$715;2);PANGKAT(Normalisasi!$M$19-Konvergensi!$E$715;2);PANGKAT(Normalisasi!$N$19-Konvergensi!$F$715;2);PANGKAT(Normalisasi!$O$19-Konvergensi!$G$715;2);PANGKAT(Normalisasi!$P$19-Konvergensi!$H$715;2));0);JIKA(F678=2;JUMLAH(PANGKAT(Normalisasi!$J$19-Konvergensi!$B$716;2);PANGKAT(Normalisasi!$K$19-Konvergensi!$C$716;2);PANGKAT(Normalisasi!$L$19-Konvergensi!$D$716;2);PANGKAT(Normalisasi!$M$19-Konvergensi!$E$716;2);PANGKAT(Normalisasi!$N$19-Konvergensi!$F$716;2);PANGKAT(Normalisasi!$O$19-Konvergensi!$G$716;2);PANGKAT(Normalisasi!$P$19-Konvergensi!$H$716;2));0))</f>
        <v/>
      </c>
      <c r="H678" t="n">
        <v>0</v>
      </c>
      <c r="I678" t="n">
        <v>1.427475282001043</v>
      </c>
    </row>
    <row r="679">
      <c r="A679">
        <f>Data_Awal!A20</f>
        <v/>
      </c>
      <c r="B679">
        <f>Data_Awal!B20</f>
        <v/>
      </c>
      <c r="C679">
        <f>AKAR(JUMLAH(PANGKAT(Normalisasi!$J$20-Konvergensi!$B$649;2);PANGKAT(Normalisasi!$K$20-Konvergensi!$C$649;2);PANGKAT(Normalisasi!$L$20-Konvergensi!$D$649;2);PANGKAT(Normalisasi!$M$20-Konvergensi!$E$649;2);PANGKAT(Normalisasi!$N$20-Konvergensi!$F$649;2);PANGKAT(Normalisasi!$O$20-Konvergensi!$G$649;2);PANGKAT(Normalisasi!$P$20-Konvergensi!$H$649;2)))</f>
        <v/>
      </c>
      <c r="D679">
        <f>AKAR(JUMLAH(PANGKAT(Normalisasi!$J$20-Konvergensi!$B$650;2);PANGKAT(Normalisasi!$K$20-Konvergensi!$C$650;2);PANGKAT(Normalisasi!$L$20-Konvergensi!$D$650;2);PANGKAT(Normalisasi!$M$20-Konvergensi!$E$650;2);PANGKAT(Normalisasi!$N$20-Konvergensi!$F$650;2);PANGKAT(Normalisasi!$O$20-Konvergensi!$G$650;2);PANGKAT(Normalisasi!$P$20-Konvergensi!$H$650;2)))</f>
        <v/>
      </c>
      <c r="E679">
        <f>AKAR(JUMLAH(PANGKAT(Normalisasi!$J$20-Konvergensi!$B$651;2);PANGKAT(Normalisasi!$K$20-Konvergensi!$C$651;2);PANGKAT(Normalisasi!$L$20-Konvergensi!$D$651;2);PANGKAT(Normalisasi!$M$20-Konvergensi!$E$651;2);PANGKAT(Normalisasi!$N$20-Konvergensi!$F$651;2);PANGKAT(Normalisasi!$O$20-Konvergensi!$G$651;2);PANGKAT(Normalisasi!$P$20-Konvergensi!$H$651;2)))</f>
        <v/>
      </c>
      <c r="F679">
        <f>JIKA(C679&lt;=D679;=JIKA(C679&lt;=E679;0;2);=JIKA(D679&lt;=E679;1;2))</f>
        <v/>
      </c>
      <c r="G679">
        <f>JUMLAH(JIKA(F679=0;JUMLAH(PANGKAT(Normalisasi!$J$20-Konvergensi!$B$714;2);PANGKAT(Normalisasi!$K$20-Konvergensi!$C$714;2);PANGKAT(Normalisasi!$L$20-Konvergensi!$D$714;2);PANGKAT(Normalisasi!$M$20-Konvergensi!$E$714;2);PANGKAT(Normalisasi!$N$20-Konvergensi!$F$714;2);PANGKAT(Normalisasi!$O$20-Konvergensi!$G$714;2);PANGKAT(Normalisasi!$P$20-Konvergensi!$H$714;2));0);JIKA(F679=1;JUMLAH(PANGKAT(Normalisasi!$J$20-Konvergensi!$B$715;2);PANGKAT(Normalisasi!$K$20-Konvergensi!$C$715;2);PANGKAT(Normalisasi!$L$20-Konvergensi!$D$715;2);PANGKAT(Normalisasi!$M$20-Konvergensi!$E$715;2);PANGKAT(Normalisasi!$N$20-Konvergensi!$F$715;2);PANGKAT(Normalisasi!$O$20-Konvergensi!$G$715;2);PANGKAT(Normalisasi!$P$20-Konvergensi!$H$715;2));0);JIKA(F679=2;JUMLAH(PANGKAT(Normalisasi!$J$20-Konvergensi!$B$716;2);PANGKAT(Normalisasi!$K$20-Konvergensi!$C$716;2);PANGKAT(Normalisasi!$L$20-Konvergensi!$D$716;2);PANGKAT(Normalisasi!$M$20-Konvergensi!$E$716;2);PANGKAT(Normalisasi!$N$20-Konvergensi!$F$716;2);PANGKAT(Normalisasi!$O$20-Konvergensi!$G$716;2);PANGKAT(Normalisasi!$P$20-Konvergensi!$H$716;2));0))</f>
        <v/>
      </c>
      <c r="H679" t="n">
        <v>0</v>
      </c>
      <c r="I679" t="n">
        <v>4.087373307121281</v>
      </c>
    </row>
    <row r="680">
      <c r="A680">
        <f>Data_Awal!A21</f>
        <v/>
      </c>
      <c r="B680">
        <f>Data_Awal!B21</f>
        <v/>
      </c>
      <c r="C680">
        <f>AKAR(JUMLAH(PANGKAT(Normalisasi!$J$21-Konvergensi!$B$649;2);PANGKAT(Normalisasi!$K$21-Konvergensi!$C$649;2);PANGKAT(Normalisasi!$L$21-Konvergensi!$D$649;2);PANGKAT(Normalisasi!$M$21-Konvergensi!$E$649;2);PANGKAT(Normalisasi!$N$21-Konvergensi!$F$649;2);PANGKAT(Normalisasi!$O$21-Konvergensi!$G$649;2);PANGKAT(Normalisasi!$P$21-Konvergensi!$H$649;2)))</f>
        <v/>
      </c>
      <c r="D680">
        <f>AKAR(JUMLAH(PANGKAT(Normalisasi!$J$21-Konvergensi!$B$650;2);PANGKAT(Normalisasi!$K$21-Konvergensi!$C$650;2);PANGKAT(Normalisasi!$L$21-Konvergensi!$D$650;2);PANGKAT(Normalisasi!$M$21-Konvergensi!$E$650;2);PANGKAT(Normalisasi!$N$21-Konvergensi!$F$650;2);PANGKAT(Normalisasi!$O$21-Konvergensi!$G$650;2);PANGKAT(Normalisasi!$P$21-Konvergensi!$H$650;2)))</f>
        <v/>
      </c>
      <c r="E680">
        <f>AKAR(JUMLAH(PANGKAT(Normalisasi!$J$21-Konvergensi!$B$651;2);PANGKAT(Normalisasi!$K$21-Konvergensi!$C$651;2);PANGKAT(Normalisasi!$L$21-Konvergensi!$D$651;2);PANGKAT(Normalisasi!$M$21-Konvergensi!$E$651;2);PANGKAT(Normalisasi!$N$21-Konvergensi!$F$651;2);PANGKAT(Normalisasi!$O$21-Konvergensi!$G$651;2);PANGKAT(Normalisasi!$P$21-Konvergensi!$H$651;2)))</f>
        <v/>
      </c>
      <c r="F680">
        <f>JIKA(C680&lt;=D680;=JIKA(C680&lt;=E680;0;2);=JIKA(D680&lt;=E680;1;2))</f>
        <v/>
      </c>
      <c r="G680">
        <f>JUMLAH(JIKA(F680=0;JUMLAH(PANGKAT(Normalisasi!$J$21-Konvergensi!$B$714;2);PANGKAT(Normalisasi!$K$21-Konvergensi!$C$714;2);PANGKAT(Normalisasi!$L$21-Konvergensi!$D$714;2);PANGKAT(Normalisasi!$M$21-Konvergensi!$E$714;2);PANGKAT(Normalisasi!$N$21-Konvergensi!$F$714;2);PANGKAT(Normalisasi!$O$21-Konvergensi!$G$714;2);PANGKAT(Normalisasi!$P$21-Konvergensi!$H$714;2));0);JIKA(F680=1;JUMLAH(PANGKAT(Normalisasi!$J$21-Konvergensi!$B$715;2);PANGKAT(Normalisasi!$K$21-Konvergensi!$C$715;2);PANGKAT(Normalisasi!$L$21-Konvergensi!$D$715;2);PANGKAT(Normalisasi!$M$21-Konvergensi!$E$715;2);PANGKAT(Normalisasi!$N$21-Konvergensi!$F$715;2);PANGKAT(Normalisasi!$O$21-Konvergensi!$G$715;2);PANGKAT(Normalisasi!$P$21-Konvergensi!$H$715;2));0);JIKA(F680=2;JUMLAH(PANGKAT(Normalisasi!$J$21-Konvergensi!$B$716;2);PANGKAT(Normalisasi!$K$21-Konvergensi!$C$716;2);PANGKAT(Normalisasi!$L$21-Konvergensi!$D$716;2);PANGKAT(Normalisasi!$M$21-Konvergensi!$E$716;2);PANGKAT(Normalisasi!$N$21-Konvergensi!$F$716;2);PANGKAT(Normalisasi!$O$21-Konvergensi!$G$716;2);PANGKAT(Normalisasi!$P$21-Konvergensi!$H$716;2));0))</f>
        <v/>
      </c>
      <c r="H680" t="n">
        <v>2</v>
      </c>
      <c r="I680" t="n">
        <v>7.323492635943206</v>
      </c>
    </row>
    <row r="681">
      <c r="A681">
        <f>Data_Awal!A22</f>
        <v/>
      </c>
      <c r="B681">
        <f>Data_Awal!B22</f>
        <v/>
      </c>
      <c r="C681">
        <f>AKAR(JUMLAH(PANGKAT(Normalisasi!$J$22-Konvergensi!$B$649;2);PANGKAT(Normalisasi!$K$22-Konvergensi!$C$649;2);PANGKAT(Normalisasi!$L$22-Konvergensi!$D$649;2);PANGKAT(Normalisasi!$M$22-Konvergensi!$E$649;2);PANGKAT(Normalisasi!$N$22-Konvergensi!$F$649;2);PANGKAT(Normalisasi!$O$22-Konvergensi!$G$649;2);PANGKAT(Normalisasi!$P$22-Konvergensi!$H$649;2)))</f>
        <v/>
      </c>
      <c r="D681">
        <f>AKAR(JUMLAH(PANGKAT(Normalisasi!$J$22-Konvergensi!$B$650;2);PANGKAT(Normalisasi!$K$22-Konvergensi!$C$650;2);PANGKAT(Normalisasi!$L$22-Konvergensi!$D$650;2);PANGKAT(Normalisasi!$M$22-Konvergensi!$E$650;2);PANGKAT(Normalisasi!$N$22-Konvergensi!$F$650;2);PANGKAT(Normalisasi!$O$22-Konvergensi!$G$650;2);PANGKAT(Normalisasi!$P$22-Konvergensi!$H$650;2)))</f>
        <v/>
      </c>
      <c r="E681">
        <f>AKAR(JUMLAH(PANGKAT(Normalisasi!$J$22-Konvergensi!$B$651;2);PANGKAT(Normalisasi!$K$22-Konvergensi!$C$651;2);PANGKAT(Normalisasi!$L$22-Konvergensi!$D$651;2);PANGKAT(Normalisasi!$M$22-Konvergensi!$E$651;2);PANGKAT(Normalisasi!$N$22-Konvergensi!$F$651;2);PANGKAT(Normalisasi!$O$22-Konvergensi!$G$651;2);PANGKAT(Normalisasi!$P$22-Konvergensi!$H$651;2)))</f>
        <v/>
      </c>
      <c r="F681">
        <f>JIKA(C681&lt;=D681;=JIKA(C681&lt;=E681;0;2);=JIKA(D681&lt;=E681;1;2))</f>
        <v/>
      </c>
      <c r="G681">
        <f>JUMLAH(JIKA(F681=0;JUMLAH(PANGKAT(Normalisasi!$J$22-Konvergensi!$B$714;2);PANGKAT(Normalisasi!$K$22-Konvergensi!$C$714;2);PANGKAT(Normalisasi!$L$22-Konvergensi!$D$714;2);PANGKAT(Normalisasi!$M$22-Konvergensi!$E$714;2);PANGKAT(Normalisasi!$N$22-Konvergensi!$F$714;2);PANGKAT(Normalisasi!$O$22-Konvergensi!$G$714;2);PANGKAT(Normalisasi!$P$22-Konvergensi!$H$714;2));0);JIKA(F681=1;JUMLAH(PANGKAT(Normalisasi!$J$22-Konvergensi!$B$715;2);PANGKAT(Normalisasi!$K$22-Konvergensi!$C$715;2);PANGKAT(Normalisasi!$L$22-Konvergensi!$D$715;2);PANGKAT(Normalisasi!$M$22-Konvergensi!$E$715;2);PANGKAT(Normalisasi!$N$22-Konvergensi!$F$715;2);PANGKAT(Normalisasi!$O$22-Konvergensi!$G$715;2);PANGKAT(Normalisasi!$P$22-Konvergensi!$H$715;2));0);JIKA(F681=2;JUMLAH(PANGKAT(Normalisasi!$J$22-Konvergensi!$B$716;2);PANGKAT(Normalisasi!$K$22-Konvergensi!$C$716;2);PANGKAT(Normalisasi!$L$22-Konvergensi!$D$716;2);PANGKAT(Normalisasi!$M$22-Konvergensi!$E$716;2);PANGKAT(Normalisasi!$N$22-Konvergensi!$F$716;2);PANGKAT(Normalisasi!$O$22-Konvergensi!$G$716;2);PANGKAT(Normalisasi!$P$22-Konvergensi!$H$716;2));0))</f>
        <v/>
      </c>
      <c r="H681" t="n">
        <v>2</v>
      </c>
      <c r="I681" t="n">
        <v>5.721368230307849</v>
      </c>
    </row>
    <row r="682">
      <c r="A682">
        <f>Data_Awal!A23</f>
        <v/>
      </c>
      <c r="B682">
        <f>Data_Awal!B23</f>
        <v/>
      </c>
      <c r="C682">
        <f>AKAR(JUMLAH(PANGKAT(Normalisasi!$J$23-Konvergensi!$B$649;2);PANGKAT(Normalisasi!$K$23-Konvergensi!$C$649;2);PANGKAT(Normalisasi!$L$23-Konvergensi!$D$649;2);PANGKAT(Normalisasi!$M$23-Konvergensi!$E$649;2);PANGKAT(Normalisasi!$N$23-Konvergensi!$F$649;2);PANGKAT(Normalisasi!$O$23-Konvergensi!$G$649;2);PANGKAT(Normalisasi!$P$23-Konvergensi!$H$649;2)))</f>
        <v/>
      </c>
      <c r="D682">
        <f>AKAR(JUMLAH(PANGKAT(Normalisasi!$J$23-Konvergensi!$B$650;2);PANGKAT(Normalisasi!$K$23-Konvergensi!$C$650;2);PANGKAT(Normalisasi!$L$23-Konvergensi!$D$650;2);PANGKAT(Normalisasi!$M$23-Konvergensi!$E$650;2);PANGKAT(Normalisasi!$N$23-Konvergensi!$F$650;2);PANGKAT(Normalisasi!$O$23-Konvergensi!$G$650;2);PANGKAT(Normalisasi!$P$23-Konvergensi!$H$650;2)))</f>
        <v/>
      </c>
      <c r="E682">
        <f>AKAR(JUMLAH(PANGKAT(Normalisasi!$J$23-Konvergensi!$B$651;2);PANGKAT(Normalisasi!$K$23-Konvergensi!$C$651;2);PANGKAT(Normalisasi!$L$23-Konvergensi!$D$651;2);PANGKAT(Normalisasi!$M$23-Konvergensi!$E$651;2);PANGKAT(Normalisasi!$N$23-Konvergensi!$F$651;2);PANGKAT(Normalisasi!$O$23-Konvergensi!$G$651;2);PANGKAT(Normalisasi!$P$23-Konvergensi!$H$651;2)))</f>
        <v/>
      </c>
      <c r="F682">
        <f>JIKA(C682&lt;=D682;=JIKA(C682&lt;=E682;0;2);=JIKA(D682&lt;=E682;1;2))</f>
        <v/>
      </c>
      <c r="G682">
        <f>JUMLAH(JIKA(F682=0;JUMLAH(PANGKAT(Normalisasi!$J$23-Konvergensi!$B$714;2);PANGKAT(Normalisasi!$K$23-Konvergensi!$C$714;2);PANGKAT(Normalisasi!$L$23-Konvergensi!$D$714;2);PANGKAT(Normalisasi!$M$23-Konvergensi!$E$714;2);PANGKAT(Normalisasi!$N$23-Konvergensi!$F$714;2);PANGKAT(Normalisasi!$O$23-Konvergensi!$G$714;2);PANGKAT(Normalisasi!$P$23-Konvergensi!$H$714;2));0);JIKA(F682=1;JUMLAH(PANGKAT(Normalisasi!$J$23-Konvergensi!$B$715;2);PANGKAT(Normalisasi!$K$23-Konvergensi!$C$715;2);PANGKAT(Normalisasi!$L$23-Konvergensi!$D$715;2);PANGKAT(Normalisasi!$M$23-Konvergensi!$E$715;2);PANGKAT(Normalisasi!$N$23-Konvergensi!$F$715;2);PANGKAT(Normalisasi!$O$23-Konvergensi!$G$715;2);PANGKAT(Normalisasi!$P$23-Konvergensi!$H$715;2));0);JIKA(F682=2;JUMLAH(PANGKAT(Normalisasi!$J$23-Konvergensi!$B$716;2);PANGKAT(Normalisasi!$K$23-Konvergensi!$C$716;2);PANGKAT(Normalisasi!$L$23-Konvergensi!$D$716;2);PANGKAT(Normalisasi!$M$23-Konvergensi!$E$716;2);PANGKAT(Normalisasi!$N$23-Konvergensi!$F$716;2);PANGKAT(Normalisasi!$O$23-Konvergensi!$G$716;2);PANGKAT(Normalisasi!$P$23-Konvergensi!$H$716;2));0))</f>
        <v/>
      </c>
      <c r="H682" t="n">
        <v>1</v>
      </c>
      <c r="I682" t="n">
        <v>6.268119608809372</v>
      </c>
    </row>
    <row r="683">
      <c r="A683">
        <f>Data_Awal!A24</f>
        <v/>
      </c>
      <c r="B683">
        <f>Data_Awal!B24</f>
        <v/>
      </c>
      <c r="C683">
        <f>AKAR(JUMLAH(PANGKAT(Normalisasi!$J$24-Konvergensi!$B$649;2);PANGKAT(Normalisasi!$K$24-Konvergensi!$C$649;2);PANGKAT(Normalisasi!$L$24-Konvergensi!$D$649;2);PANGKAT(Normalisasi!$M$24-Konvergensi!$E$649;2);PANGKAT(Normalisasi!$N$24-Konvergensi!$F$649;2);PANGKAT(Normalisasi!$O$24-Konvergensi!$G$649;2);PANGKAT(Normalisasi!$P$24-Konvergensi!$H$649;2)))</f>
        <v/>
      </c>
      <c r="D683">
        <f>AKAR(JUMLAH(PANGKAT(Normalisasi!$J$24-Konvergensi!$B$650;2);PANGKAT(Normalisasi!$K$24-Konvergensi!$C$650;2);PANGKAT(Normalisasi!$L$24-Konvergensi!$D$650;2);PANGKAT(Normalisasi!$M$24-Konvergensi!$E$650;2);PANGKAT(Normalisasi!$N$24-Konvergensi!$F$650;2);PANGKAT(Normalisasi!$O$24-Konvergensi!$G$650;2);PANGKAT(Normalisasi!$P$24-Konvergensi!$H$650;2)))</f>
        <v/>
      </c>
      <c r="E683">
        <f>AKAR(JUMLAH(PANGKAT(Normalisasi!$J$24-Konvergensi!$B$651;2);PANGKAT(Normalisasi!$K$24-Konvergensi!$C$651;2);PANGKAT(Normalisasi!$L$24-Konvergensi!$D$651;2);PANGKAT(Normalisasi!$M$24-Konvergensi!$E$651;2);PANGKAT(Normalisasi!$N$24-Konvergensi!$F$651;2);PANGKAT(Normalisasi!$O$24-Konvergensi!$G$651;2);PANGKAT(Normalisasi!$P$24-Konvergensi!$H$651;2)))</f>
        <v/>
      </c>
      <c r="F683">
        <f>JIKA(C683&lt;=D683;=JIKA(C683&lt;=E683;0;2);=JIKA(D683&lt;=E683;1;2))</f>
        <v/>
      </c>
      <c r="G683">
        <f>JUMLAH(JIKA(F683=0;JUMLAH(PANGKAT(Normalisasi!$J$24-Konvergensi!$B$714;2);PANGKAT(Normalisasi!$K$24-Konvergensi!$C$714;2);PANGKAT(Normalisasi!$L$24-Konvergensi!$D$714;2);PANGKAT(Normalisasi!$M$24-Konvergensi!$E$714;2);PANGKAT(Normalisasi!$N$24-Konvergensi!$F$714;2);PANGKAT(Normalisasi!$O$24-Konvergensi!$G$714;2);PANGKAT(Normalisasi!$P$24-Konvergensi!$H$714;2));0);JIKA(F683=1;JUMLAH(PANGKAT(Normalisasi!$J$24-Konvergensi!$B$715;2);PANGKAT(Normalisasi!$K$24-Konvergensi!$C$715;2);PANGKAT(Normalisasi!$L$24-Konvergensi!$D$715;2);PANGKAT(Normalisasi!$M$24-Konvergensi!$E$715;2);PANGKAT(Normalisasi!$N$24-Konvergensi!$F$715;2);PANGKAT(Normalisasi!$O$24-Konvergensi!$G$715;2);PANGKAT(Normalisasi!$P$24-Konvergensi!$H$715;2));0);JIKA(F683=2;JUMLAH(PANGKAT(Normalisasi!$J$24-Konvergensi!$B$716;2);PANGKAT(Normalisasi!$K$24-Konvergensi!$C$716;2);PANGKAT(Normalisasi!$L$24-Konvergensi!$D$716;2);PANGKAT(Normalisasi!$M$24-Konvergensi!$E$716;2);PANGKAT(Normalisasi!$N$24-Konvergensi!$F$716;2);PANGKAT(Normalisasi!$O$24-Konvergensi!$G$716;2);PANGKAT(Normalisasi!$P$24-Konvergensi!$H$716;2));0))</f>
        <v/>
      </c>
      <c r="H683" t="n">
        <v>2</v>
      </c>
      <c r="I683" t="n">
        <v>3.166090886905191</v>
      </c>
    </row>
    <row r="684">
      <c r="A684">
        <f>Data_Awal!A25</f>
        <v/>
      </c>
      <c r="B684">
        <f>Data_Awal!B25</f>
        <v/>
      </c>
      <c r="C684">
        <f>AKAR(JUMLAH(PANGKAT(Normalisasi!$J$25-Konvergensi!$B$649;2);PANGKAT(Normalisasi!$K$25-Konvergensi!$C$649;2);PANGKAT(Normalisasi!$L$25-Konvergensi!$D$649;2);PANGKAT(Normalisasi!$M$25-Konvergensi!$E$649;2);PANGKAT(Normalisasi!$N$25-Konvergensi!$F$649;2);PANGKAT(Normalisasi!$O$25-Konvergensi!$G$649;2);PANGKAT(Normalisasi!$P$25-Konvergensi!$H$649;2)))</f>
        <v/>
      </c>
      <c r="D684">
        <f>AKAR(JUMLAH(PANGKAT(Normalisasi!$J$25-Konvergensi!$B$650;2);PANGKAT(Normalisasi!$K$25-Konvergensi!$C$650;2);PANGKAT(Normalisasi!$L$25-Konvergensi!$D$650;2);PANGKAT(Normalisasi!$M$25-Konvergensi!$E$650;2);PANGKAT(Normalisasi!$N$25-Konvergensi!$F$650;2);PANGKAT(Normalisasi!$O$25-Konvergensi!$G$650;2);PANGKAT(Normalisasi!$P$25-Konvergensi!$H$650;2)))</f>
        <v/>
      </c>
      <c r="E684">
        <f>AKAR(JUMLAH(PANGKAT(Normalisasi!$J$25-Konvergensi!$B$651;2);PANGKAT(Normalisasi!$K$25-Konvergensi!$C$651;2);PANGKAT(Normalisasi!$L$25-Konvergensi!$D$651;2);PANGKAT(Normalisasi!$M$25-Konvergensi!$E$651;2);PANGKAT(Normalisasi!$N$25-Konvergensi!$F$651;2);PANGKAT(Normalisasi!$O$25-Konvergensi!$G$651;2);PANGKAT(Normalisasi!$P$25-Konvergensi!$H$651;2)))</f>
        <v/>
      </c>
      <c r="F684">
        <f>JIKA(C684&lt;=D684;=JIKA(C684&lt;=E684;0;2);=JIKA(D684&lt;=E684;1;2))</f>
        <v/>
      </c>
      <c r="G684">
        <f>JUMLAH(JIKA(F684=0;JUMLAH(PANGKAT(Normalisasi!$J$25-Konvergensi!$B$714;2);PANGKAT(Normalisasi!$K$25-Konvergensi!$C$714;2);PANGKAT(Normalisasi!$L$25-Konvergensi!$D$714;2);PANGKAT(Normalisasi!$M$25-Konvergensi!$E$714;2);PANGKAT(Normalisasi!$N$25-Konvergensi!$F$714;2);PANGKAT(Normalisasi!$O$25-Konvergensi!$G$714;2);PANGKAT(Normalisasi!$P$25-Konvergensi!$H$714;2));0);JIKA(F684=1;JUMLAH(PANGKAT(Normalisasi!$J$25-Konvergensi!$B$715;2);PANGKAT(Normalisasi!$K$25-Konvergensi!$C$715;2);PANGKAT(Normalisasi!$L$25-Konvergensi!$D$715;2);PANGKAT(Normalisasi!$M$25-Konvergensi!$E$715;2);PANGKAT(Normalisasi!$N$25-Konvergensi!$F$715;2);PANGKAT(Normalisasi!$O$25-Konvergensi!$G$715;2);PANGKAT(Normalisasi!$P$25-Konvergensi!$H$715;2));0);JIKA(F684=2;JUMLAH(PANGKAT(Normalisasi!$J$25-Konvergensi!$B$716;2);PANGKAT(Normalisasi!$K$25-Konvergensi!$C$716;2);PANGKAT(Normalisasi!$L$25-Konvergensi!$D$716;2);PANGKAT(Normalisasi!$M$25-Konvergensi!$E$716;2);PANGKAT(Normalisasi!$N$25-Konvergensi!$F$716;2);PANGKAT(Normalisasi!$O$25-Konvergensi!$G$716;2);PANGKAT(Normalisasi!$P$25-Konvergensi!$H$716;2));0))</f>
        <v/>
      </c>
      <c r="H684" t="n">
        <v>1</v>
      </c>
      <c r="I684" t="n">
        <v>3.927508727928172</v>
      </c>
    </row>
    <row r="685">
      <c r="A685">
        <f>Data_Awal!A26</f>
        <v/>
      </c>
      <c r="B685">
        <f>Data_Awal!B26</f>
        <v/>
      </c>
      <c r="C685">
        <f>AKAR(JUMLAH(PANGKAT(Normalisasi!$J$26-Konvergensi!$B$649;2);PANGKAT(Normalisasi!$K$26-Konvergensi!$C$649;2);PANGKAT(Normalisasi!$L$26-Konvergensi!$D$649;2);PANGKAT(Normalisasi!$M$26-Konvergensi!$E$649;2);PANGKAT(Normalisasi!$N$26-Konvergensi!$F$649;2);PANGKAT(Normalisasi!$O$26-Konvergensi!$G$649;2);PANGKAT(Normalisasi!$P$26-Konvergensi!$H$649;2)))</f>
        <v/>
      </c>
      <c r="D685">
        <f>AKAR(JUMLAH(PANGKAT(Normalisasi!$J$26-Konvergensi!$B$650;2);PANGKAT(Normalisasi!$K$26-Konvergensi!$C$650;2);PANGKAT(Normalisasi!$L$26-Konvergensi!$D$650;2);PANGKAT(Normalisasi!$M$26-Konvergensi!$E$650;2);PANGKAT(Normalisasi!$N$26-Konvergensi!$F$650;2);PANGKAT(Normalisasi!$O$26-Konvergensi!$G$650;2);PANGKAT(Normalisasi!$P$26-Konvergensi!$H$650;2)))</f>
        <v/>
      </c>
      <c r="E685">
        <f>AKAR(JUMLAH(PANGKAT(Normalisasi!$J$26-Konvergensi!$B$651;2);PANGKAT(Normalisasi!$K$26-Konvergensi!$C$651;2);PANGKAT(Normalisasi!$L$26-Konvergensi!$D$651;2);PANGKAT(Normalisasi!$M$26-Konvergensi!$E$651;2);PANGKAT(Normalisasi!$N$26-Konvergensi!$F$651;2);PANGKAT(Normalisasi!$O$26-Konvergensi!$G$651;2);PANGKAT(Normalisasi!$P$26-Konvergensi!$H$651;2)))</f>
        <v/>
      </c>
      <c r="F685">
        <f>JIKA(C685&lt;=D685;=JIKA(C685&lt;=E685;0;2);=JIKA(D685&lt;=E685;1;2))</f>
        <v/>
      </c>
      <c r="G685">
        <f>JUMLAH(JIKA(F685=0;JUMLAH(PANGKAT(Normalisasi!$J$26-Konvergensi!$B$714;2);PANGKAT(Normalisasi!$K$26-Konvergensi!$C$714;2);PANGKAT(Normalisasi!$L$26-Konvergensi!$D$714;2);PANGKAT(Normalisasi!$M$26-Konvergensi!$E$714;2);PANGKAT(Normalisasi!$N$26-Konvergensi!$F$714;2);PANGKAT(Normalisasi!$O$26-Konvergensi!$G$714;2);PANGKAT(Normalisasi!$P$26-Konvergensi!$H$714;2));0);JIKA(F685=1;JUMLAH(PANGKAT(Normalisasi!$J$26-Konvergensi!$B$715;2);PANGKAT(Normalisasi!$K$26-Konvergensi!$C$715;2);PANGKAT(Normalisasi!$L$26-Konvergensi!$D$715;2);PANGKAT(Normalisasi!$M$26-Konvergensi!$E$715;2);PANGKAT(Normalisasi!$N$26-Konvergensi!$F$715;2);PANGKAT(Normalisasi!$O$26-Konvergensi!$G$715;2);PANGKAT(Normalisasi!$P$26-Konvergensi!$H$715;2));0);JIKA(F685=2;JUMLAH(PANGKAT(Normalisasi!$J$26-Konvergensi!$B$716;2);PANGKAT(Normalisasi!$K$26-Konvergensi!$C$716;2);PANGKAT(Normalisasi!$L$26-Konvergensi!$D$716;2);PANGKAT(Normalisasi!$M$26-Konvergensi!$E$716;2);PANGKAT(Normalisasi!$N$26-Konvergensi!$F$716;2);PANGKAT(Normalisasi!$O$26-Konvergensi!$G$716;2);PANGKAT(Normalisasi!$P$26-Konvergensi!$H$716;2));0))</f>
        <v/>
      </c>
      <c r="H685" t="n">
        <v>2</v>
      </c>
      <c r="I685" t="n">
        <v>5.022141516651888</v>
      </c>
    </row>
    <row r="686">
      <c r="A686">
        <f>Data_Awal!A27</f>
        <v/>
      </c>
      <c r="B686">
        <f>Data_Awal!B27</f>
        <v/>
      </c>
      <c r="C686">
        <f>AKAR(JUMLAH(PANGKAT(Normalisasi!$J$27-Konvergensi!$B$649;2);PANGKAT(Normalisasi!$K$27-Konvergensi!$C$649;2);PANGKAT(Normalisasi!$L$27-Konvergensi!$D$649;2);PANGKAT(Normalisasi!$M$27-Konvergensi!$E$649;2);PANGKAT(Normalisasi!$N$27-Konvergensi!$F$649;2);PANGKAT(Normalisasi!$O$27-Konvergensi!$G$649;2);PANGKAT(Normalisasi!$P$27-Konvergensi!$H$649;2)))</f>
        <v/>
      </c>
      <c r="D686">
        <f>AKAR(JUMLAH(PANGKAT(Normalisasi!$J$27-Konvergensi!$B$650;2);PANGKAT(Normalisasi!$K$27-Konvergensi!$C$650;2);PANGKAT(Normalisasi!$L$27-Konvergensi!$D$650;2);PANGKAT(Normalisasi!$M$27-Konvergensi!$E$650;2);PANGKAT(Normalisasi!$N$27-Konvergensi!$F$650;2);PANGKAT(Normalisasi!$O$27-Konvergensi!$G$650;2);PANGKAT(Normalisasi!$P$27-Konvergensi!$H$650;2)))</f>
        <v/>
      </c>
      <c r="E686">
        <f>AKAR(JUMLAH(PANGKAT(Normalisasi!$J$27-Konvergensi!$B$651;2);PANGKAT(Normalisasi!$K$27-Konvergensi!$C$651;2);PANGKAT(Normalisasi!$L$27-Konvergensi!$D$651;2);PANGKAT(Normalisasi!$M$27-Konvergensi!$E$651;2);PANGKAT(Normalisasi!$N$27-Konvergensi!$F$651;2);PANGKAT(Normalisasi!$O$27-Konvergensi!$G$651;2);PANGKAT(Normalisasi!$P$27-Konvergensi!$H$651;2)))</f>
        <v/>
      </c>
      <c r="F686">
        <f>JIKA(C686&lt;=D686;=JIKA(C686&lt;=E686;0;2);=JIKA(D686&lt;=E686;1;2))</f>
        <v/>
      </c>
      <c r="G686">
        <f>JUMLAH(JIKA(F686=0;JUMLAH(PANGKAT(Normalisasi!$J$27-Konvergensi!$B$714;2);PANGKAT(Normalisasi!$K$27-Konvergensi!$C$714;2);PANGKAT(Normalisasi!$L$27-Konvergensi!$D$714;2);PANGKAT(Normalisasi!$M$27-Konvergensi!$E$714;2);PANGKAT(Normalisasi!$N$27-Konvergensi!$F$714;2);PANGKAT(Normalisasi!$O$27-Konvergensi!$G$714;2);PANGKAT(Normalisasi!$P$27-Konvergensi!$H$714;2));0);JIKA(F686=1;JUMLAH(PANGKAT(Normalisasi!$J$27-Konvergensi!$B$715;2);PANGKAT(Normalisasi!$K$27-Konvergensi!$C$715;2);PANGKAT(Normalisasi!$L$27-Konvergensi!$D$715;2);PANGKAT(Normalisasi!$M$27-Konvergensi!$E$715;2);PANGKAT(Normalisasi!$N$27-Konvergensi!$F$715;2);PANGKAT(Normalisasi!$O$27-Konvergensi!$G$715;2);PANGKAT(Normalisasi!$P$27-Konvergensi!$H$715;2));0);JIKA(F686=2;JUMLAH(PANGKAT(Normalisasi!$J$27-Konvergensi!$B$716;2);PANGKAT(Normalisasi!$K$27-Konvergensi!$C$716;2);PANGKAT(Normalisasi!$L$27-Konvergensi!$D$716;2);PANGKAT(Normalisasi!$M$27-Konvergensi!$E$716;2);PANGKAT(Normalisasi!$N$27-Konvergensi!$F$716;2);PANGKAT(Normalisasi!$O$27-Konvergensi!$G$716;2);PANGKAT(Normalisasi!$P$27-Konvergensi!$H$716;2));0))</f>
        <v/>
      </c>
      <c r="H686" t="n">
        <v>0</v>
      </c>
      <c r="I686" t="n">
        <v>2.43293227254216</v>
      </c>
    </row>
    <row r="687">
      <c r="A687">
        <f>Data_Awal!A28</f>
        <v/>
      </c>
      <c r="B687">
        <f>Data_Awal!B28</f>
        <v/>
      </c>
      <c r="C687">
        <f>AKAR(JUMLAH(PANGKAT(Normalisasi!$J$28-Konvergensi!$B$649;2);PANGKAT(Normalisasi!$K$28-Konvergensi!$C$649;2);PANGKAT(Normalisasi!$L$28-Konvergensi!$D$649;2);PANGKAT(Normalisasi!$M$28-Konvergensi!$E$649;2);PANGKAT(Normalisasi!$N$28-Konvergensi!$F$649;2);PANGKAT(Normalisasi!$O$28-Konvergensi!$G$649;2);PANGKAT(Normalisasi!$P$28-Konvergensi!$H$649;2)))</f>
        <v/>
      </c>
      <c r="D687">
        <f>AKAR(JUMLAH(PANGKAT(Normalisasi!$J$28-Konvergensi!$B$650;2);PANGKAT(Normalisasi!$K$28-Konvergensi!$C$650;2);PANGKAT(Normalisasi!$L$28-Konvergensi!$D$650;2);PANGKAT(Normalisasi!$M$28-Konvergensi!$E$650;2);PANGKAT(Normalisasi!$N$28-Konvergensi!$F$650;2);PANGKAT(Normalisasi!$O$28-Konvergensi!$G$650;2);PANGKAT(Normalisasi!$P$28-Konvergensi!$H$650;2)))</f>
        <v/>
      </c>
      <c r="E687">
        <f>AKAR(JUMLAH(PANGKAT(Normalisasi!$J$28-Konvergensi!$B$651;2);PANGKAT(Normalisasi!$K$28-Konvergensi!$C$651;2);PANGKAT(Normalisasi!$L$28-Konvergensi!$D$651;2);PANGKAT(Normalisasi!$M$28-Konvergensi!$E$651;2);PANGKAT(Normalisasi!$N$28-Konvergensi!$F$651;2);PANGKAT(Normalisasi!$O$28-Konvergensi!$G$651;2);PANGKAT(Normalisasi!$P$28-Konvergensi!$H$651;2)))</f>
        <v/>
      </c>
      <c r="F687">
        <f>JIKA(C687&lt;=D687;=JIKA(C687&lt;=E687;0;2);=JIKA(D687&lt;=E687;1;2))</f>
        <v/>
      </c>
      <c r="G687">
        <f>JUMLAH(JIKA(F687=0;JUMLAH(PANGKAT(Normalisasi!$J$28-Konvergensi!$B$714;2);PANGKAT(Normalisasi!$K$28-Konvergensi!$C$714;2);PANGKAT(Normalisasi!$L$28-Konvergensi!$D$714;2);PANGKAT(Normalisasi!$M$28-Konvergensi!$E$714;2);PANGKAT(Normalisasi!$N$28-Konvergensi!$F$714;2);PANGKAT(Normalisasi!$O$28-Konvergensi!$G$714;2);PANGKAT(Normalisasi!$P$28-Konvergensi!$H$714;2));0);JIKA(F687=1;JUMLAH(PANGKAT(Normalisasi!$J$28-Konvergensi!$B$715;2);PANGKAT(Normalisasi!$K$28-Konvergensi!$C$715;2);PANGKAT(Normalisasi!$L$28-Konvergensi!$D$715;2);PANGKAT(Normalisasi!$M$28-Konvergensi!$E$715;2);PANGKAT(Normalisasi!$N$28-Konvergensi!$F$715;2);PANGKAT(Normalisasi!$O$28-Konvergensi!$G$715;2);PANGKAT(Normalisasi!$P$28-Konvergensi!$H$715;2));0);JIKA(F687=2;JUMLAH(PANGKAT(Normalisasi!$J$28-Konvergensi!$B$716;2);PANGKAT(Normalisasi!$K$28-Konvergensi!$C$716;2);PANGKAT(Normalisasi!$L$28-Konvergensi!$D$716;2);PANGKAT(Normalisasi!$M$28-Konvergensi!$E$716;2);PANGKAT(Normalisasi!$N$28-Konvergensi!$F$716;2);PANGKAT(Normalisasi!$O$28-Konvergensi!$G$716;2);PANGKAT(Normalisasi!$P$28-Konvergensi!$H$716;2));0))</f>
        <v/>
      </c>
      <c r="H687" t="n">
        <v>2</v>
      </c>
      <c r="I687" t="n">
        <v>8.353231142871648</v>
      </c>
    </row>
    <row r="688">
      <c r="A688">
        <f>Data_Awal!A29</f>
        <v/>
      </c>
      <c r="B688">
        <f>Data_Awal!B29</f>
        <v/>
      </c>
      <c r="C688">
        <f>AKAR(JUMLAH(PANGKAT(Normalisasi!$J$29-Konvergensi!$B$649;2);PANGKAT(Normalisasi!$K$29-Konvergensi!$C$649;2);PANGKAT(Normalisasi!$L$29-Konvergensi!$D$649;2);PANGKAT(Normalisasi!$M$29-Konvergensi!$E$649;2);PANGKAT(Normalisasi!$N$29-Konvergensi!$F$649;2);PANGKAT(Normalisasi!$O$29-Konvergensi!$G$649;2);PANGKAT(Normalisasi!$P$29-Konvergensi!$H$649;2)))</f>
        <v/>
      </c>
      <c r="D688">
        <f>AKAR(JUMLAH(PANGKAT(Normalisasi!$J$29-Konvergensi!$B$650;2);PANGKAT(Normalisasi!$K$29-Konvergensi!$C$650;2);PANGKAT(Normalisasi!$L$29-Konvergensi!$D$650;2);PANGKAT(Normalisasi!$M$29-Konvergensi!$E$650;2);PANGKAT(Normalisasi!$N$29-Konvergensi!$F$650;2);PANGKAT(Normalisasi!$O$29-Konvergensi!$G$650;2);PANGKAT(Normalisasi!$P$29-Konvergensi!$H$650;2)))</f>
        <v/>
      </c>
      <c r="E688">
        <f>AKAR(JUMLAH(PANGKAT(Normalisasi!$J$29-Konvergensi!$B$651;2);PANGKAT(Normalisasi!$K$29-Konvergensi!$C$651;2);PANGKAT(Normalisasi!$L$29-Konvergensi!$D$651;2);PANGKAT(Normalisasi!$M$29-Konvergensi!$E$651;2);PANGKAT(Normalisasi!$N$29-Konvergensi!$F$651;2);PANGKAT(Normalisasi!$O$29-Konvergensi!$G$651;2);PANGKAT(Normalisasi!$P$29-Konvergensi!$H$651;2)))</f>
        <v/>
      </c>
      <c r="F688">
        <f>JIKA(C688&lt;=D688;=JIKA(C688&lt;=E688;0;2);=JIKA(D688&lt;=E688;1;2))</f>
        <v/>
      </c>
      <c r="G688">
        <f>JUMLAH(JIKA(F688=0;JUMLAH(PANGKAT(Normalisasi!$J$29-Konvergensi!$B$714;2);PANGKAT(Normalisasi!$K$29-Konvergensi!$C$714;2);PANGKAT(Normalisasi!$L$29-Konvergensi!$D$714;2);PANGKAT(Normalisasi!$M$29-Konvergensi!$E$714;2);PANGKAT(Normalisasi!$N$29-Konvergensi!$F$714;2);PANGKAT(Normalisasi!$O$29-Konvergensi!$G$714;2);PANGKAT(Normalisasi!$P$29-Konvergensi!$H$714;2));0);JIKA(F688=1;JUMLAH(PANGKAT(Normalisasi!$J$29-Konvergensi!$B$715;2);PANGKAT(Normalisasi!$K$29-Konvergensi!$C$715;2);PANGKAT(Normalisasi!$L$29-Konvergensi!$D$715;2);PANGKAT(Normalisasi!$M$29-Konvergensi!$E$715;2);PANGKAT(Normalisasi!$N$29-Konvergensi!$F$715;2);PANGKAT(Normalisasi!$O$29-Konvergensi!$G$715;2);PANGKAT(Normalisasi!$P$29-Konvergensi!$H$715;2));0);JIKA(F688=2;JUMLAH(PANGKAT(Normalisasi!$J$29-Konvergensi!$B$716;2);PANGKAT(Normalisasi!$K$29-Konvergensi!$C$716;2);PANGKAT(Normalisasi!$L$29-Konvergensi!$D$716;2);PANGKAT(Normalisasi!$M$29-Konvergensi!$E$716;2);PANGKAT(Normalisasi!$N$29-Konvergensi!$F$716;2);PANGKAT(Normalisasi!$O$29-Konvergensi!$G$716;2);PANGKAT(Normalisasi!$P$29-Konvergensi!$H$716;2));0))</f>
        <v/>
      </c>
      <c r="H688" t="n">
        <v>2</v>
      </c>
      <c r="I688" t="n">
        <v>2.989169368793322</v>
      </c>
    </row>
    <row r="689">
      <c r="A689">
        <f>Data_Awal!A30</f>
        <v/>
      </c>
      <c r="B689">
        <f>Data_Awal!B30</f>
        <v/>
      </c>
      <c r="C689">
        <f>AKAR(JUMLAH(PANGKAT(Normalisasi!$J$30-Konvergensi!$B$649;2);PANGKAT(Normalisasi!$K$30-Konvergensi!$C$649;2);PANGKAT(Normalisasi!$L$30-Konvergensi!$D$649;2);PANGKAT(Normalisasi!$M$30-Konvergensi!$E$649;2);PANGKAT(Normalisasi!$N$30-Konvergensi!$F$649;2);PANGKAT(Normalisasi!$O$30-Konvergensi!$G$649;2);PANGKAT(Normalisasi!$P$30-Konvergensi!$H$649;2)))</f>
        <v/>
      </c>
      <c r="D689">
        <f>AKAR(JUMLAH(PANGKAT(Normalisasi!$J$30-Konvergensi!$B$650;2);PANGKAT(Normalisasi!$K$30-Konvergensi!$C$650;2);PANGKAT(Normalisasi!$L$30-Konvergensi!$D$650;2);PANGKAT(Normalisasi!$M$30-Konvergensi!$E$650;2);PANGKAT(Normalisasi!$N$30-Konvergensi!$F$650;2);PANGKAT(Normalisasi!$O$30-Konvergensi!$G$650;2);PANGKAT(Normalisasi!$P$30-Konvergensi!$H$650;2)))</f>
        <v/>
      </c>
      <c r="E689">
        <f>AKAR(JUMLAH(PANGKAT(Normalisasi!$J$30-Konvergensi!$B$651;2);PANGKAT(Normalisasi!$K$30-Konvergensi!$C$651;2);PANGKAT(Normalisasi!$L$30-Konvergensi!$D$651;2);PANGKAT(Normalisasi!$M$30-Konvergensi!$E$651;2);PANGKAT(Normalisasi!$N$30-Konvergensi!$F$651;2);PANGKAT(Normalisasi!$O$30-Konvergensi!$G$651;2);PANGKAT(Normalisasi!$P$30-Konvergensi!$H$651;2)))</f>
        <v/>
      </c>
      <c r="F689">
        <f>JIKA(C689&lt;=D689;=JIKA(C689&lt;=E689;0;2);=JIKA(D689&lt;=E689;1;2))</f>
        <v/>
      </c>
      <c r="G689">
        <f>JUMLAH(JIKA(F689=0;JUMLAH(PANGKAT(Normalisasi!$J$30-Konvergensi!$B$714;2);PANGKAT(Normalisasi!$K$30-Konvergensi!$C$714;2);PANGKAT(Normalisasi!$L$30-Konvergensi!$D$714;2);PANGKAT(Normalisasi!$M$30-Konvergensi!$E$714;2);PANGKAT(Normalisasi!$N$30-Konvergensi!$F$714;2);PANGKAT(Normalisasi!$O$30-Konvergensi!$G$714;2);PANGKAT(Normalisasi!$P$30-Konvergensi!$H$714;2));0);JIKA(F689=1;JUMLAH(PANGKAT(Normalisasi!$J$30-Konvergensi!$B$715;2);PANGKAT(Normalisasi!$K$30-Konvergensi!$C$715;2);PANGKAT(Normalisasi!$L$30-Konvergensi!$D$715;2);PANGKAT(Normalisasi!$M$30-Konvergensi!$E$715;2);PANGKAT(Normalisasi!$N$30-Konvergensi!$F$715;2);PANGKAT(Normalisasi!$O$30-Konvergensi!$G$715;2);PANGKAT(Normalisasi!$P$30-Konvergensi!$H$715;2));0);JIKA(F689=2;JUMLAH(PANGKAT(Normalisasi!$J$30-Konvergensi!$B$716;2);PANGKAT(Normalisasi!$K$30-Konvergensi!$C$716;2);PANGKAT(Normalisasi!$L$30-Konvergensi!$D$716;2);PANGKAT(Normalisasi!$M$30-Konvergensi!$E$716;2);PANGKAT(Normalisasi!$N$30-Konvergensi!$F$716;2);PANGKAT(Normalisasi!$O$30-Konvergensi!$G$716;2);PANGKAT(Normalisasi!$P$30-Konvergensi!$H$716;2));0))</f>
        <v/>
      </c>
      <c r="H689" t="n">
        <v>0</v>
      </c>
      <c r="I689" t="n">
        <v>7.095034130361932</v>
      </c>
    </row>
    <row r="690">
      <c r="A690">
        <f>Data_Awal!A31</f>
        <v/>
      </c>
      <c r="B690">
        <f>Data_Awal!B31</f>
        <v/>
      </c>
      <c r="C690">
        <f>AKAR(JUMLAH(PANGKAT(Normalisasi!$J$31-Konvergensi!$B$649;2);PANGKAT(Normalisasi!$K$31-Konvergensi!$C$649;2);PANGKAT(Normalisasi!$L$31-Konvergensi!$D$649;2);PANGKAT(Normalisasi!$M$31-Konvergensi!$E$649;2);PANGKAT(Normalisasi!$N$31-Konvergensi!$F$649;2);PANGKAT(Normalisasi!$O$31-Konvergensi!$G$649;2);PANGKAT(Normalisasi!$P$31-Konvergensi!$H$649;2)))</f>
        <v/>
      </c>
      <c r="D690">
        <f>AKAR(JUMLAH(PANGKAT(Normalisasi!$J$31-Konvergensi!$B$650;2);PANGKAT(Normalisasi!$K$31-Konvergensi!$C$650;2);PANGKAT(Normalisasi!$L$31-Konvergensi!$D$650;2);PANGKAT(Normalisasi!$M$31-Konvergensi!$E$650;2);PANGKAT(Normalisasi!$N$31-Konvergensi!$F$650;2);PANGKAT(Normalisasi!$O$31-Konvergensi!$G$650;2);PANGKAT(Normalisasi!$P$31-Konvergensi!$H$650;2)))</f>
        <v/>
      </c>
      <c r="E690">
        <f>AKAR(JUMLAH(PANGKAT(Normalisasi!$J$31-Konvergensi!$B$651;2);PANGKAT(Normalisasi!$K$31-Konvergensi!$C$651;2);PANGKAT(Normalisasi!$L$31-Konvergensi!$D$651;2);PANGKAT(Normalisasi!$M$31-Konvergensi!$E$651;2);PANGKAT(Normalisasi!$N$31-Konvergensi!$F$651;2);PANGKAT(Normalisasi!$O$31-Konvergensi!$G$651;2);PANGKAT(Normalisasi!$P$31-Konvergensi!$H$651;2)))</f>
        <v/>
      </c>
      <c r="F690">
        <f>JIKA(C690&lt;=D690;=JIKA(C690&lt;=E690;0;2);=JIKA(D690&lt;=E690;1;2))</f>
        <v/>
      </c>
      <c r="G690">
        <f>JUMLAH(JIKA(F690=0;JUMLAH(PANGKAT(Normalisasi!$J$31-Konvergensi!$B$714;2);PANGKAT(Normalisasi!$K$31-Konvergensi!$C$714;2);PANGKAT(Normalisasi!$L$31-Konvergensi!$D$714;2);PANGKAT(Normalisasi!$M$31-Konvergensi!$E$714;2);PANGKAT(Normalisasi!$N$31-Konvergensi!$F$714;2);PANGKAT(Normalisasi!$O$31-Konvergensi!$G$714;2);PANGKAT(Normalisasi!$P$31-Konvergensi!$H$714;2));0);JIKA(F690=1;JUMLAH(PANGKAT(Normalisasi!$J$31-Konvergensi!$B$715;2);PANGKAT(Normalisasi!$K$31-Konvergensi!$C$715;2);PANGKAT(Normalisasi!$L$31-Konvergensi!$D$715;2);PANGKAT(Normalisasi!$M$31-Konvergensi!$E$715;2);PANGKAT(Normalisasi!$N$31-Konvergensi!$F$715;2);PANGKAT(Normalisasi!$O$31-Konvergensi!$G$715;2);PANGKAT(Normalisasi!$P$31-Konvergensi!$H$715;2));0);JIKA(F690=2;JUMLAH(PANGKAT(Normalisasi!$J$31-Konvergensi!$B$716;2);PANGKAT(Normalisasi!$K$31-Konvergensi!$C$716;2);PANGKAT(Normalisasi!$L$31-Konvergensi!$D$716;2);PANGKAT(Normalisasi!$M$31-Konvergensi!$E$716;2);PANGKAT(Normalisasi!$N$31-Konvergensi!$F$716;2);PANGKAT(Normalisasi!$O$31-Konvergensi!$G$716;2);PANGKAT(Normalisasi!$P$31-Konvergensi!$H$716;2));0))</f>
        <v/>
      </c>
      <c r="H690" t="n">
        <v>0</v>
      </c>
      <c r="I690" t="n">
        <v>6.560740174105017</v>
      </c>
    </row>
    <row r="691">
      <c r="A691">
        <f>Data_Awal!A32</f>
        <v/>
      </c>
      <c r="B691">
        <f>Data_Awal!B32</f>
        <v/>
      </c>
      <c r="C691">
        <f>AKAR(JUMLAH(PANGKAT(Normalisasi!$J$32-Konvergensi!$B$649;2);PANGKAT(Normalisasi!$K$32-Konvergensi!$C$649;2);PANGKAT(Normalisasi!$L$32-Konvergensi!$D$649;2);PANGKAT(Normalisasi!$M$32-Konvergensi!$E$649;2);PANGKAT(Normalisasi!$N$32-Konvergensi!$F$649;2);PANGKAT(Normalisasi!$O$32-Konvergensi!$G$649;2);PANGKAT(Normalisasi!$P$32-Konvergensi!$H$649;2)))</f>
        <v/>
      </c>
      <c r="D691">
        <f>AKAR(JUMLAH(PANGKAT(Normalisasi!$J$32-Konvergensi!$B$650;2);PANGKAT(Normalisasi!$K$32-Konvergensi!$C$650;2);PANGKAT(Normalisasi!$L$32-Konvergensi!$D$650;2);PANGKAT(Normalisasi!$M$32-Konvergensi!$E$650;2);PANGKAT(Normalisasi!$N$32-Konvergensi!$F$650;2);PANGKAT(Normalisasi!$O$32-Konvergensi!$G$650;2);PANGKAT(Normalisasi!$P$32-Konvergensi!$H$650;2)))</f>
        <v/>
      </c>
      <c r="E691">
        <f>AKAR(JUMLAH(PANGKAT(Normalisasi!$J$32-Konvergensi!$B$651;2);PANGKAT(Normalisasi!$K$32-Konvergensi!$C$651;2);PANGKAT(Normalisasi!$L$32-Konvergensi!$D$651;2);PANGKAT(Normalisasi!$M$32-Konvergensi!$E$651;2);PANGKAT(Normalisasi!$N$32-Konvergensi!$F$651;2);PANGKAT(Normalisasi!$O$32-Konvergensi!$G$651;2);PANGKAT(Normalisasi!$P$32-Konvergensi!$H$651;2)))</f>
        <v/>
      </c>
      <c r="F691">
        <f>JIKA(C691&lt;=D691;=JIKA(C691&lt;=E691;0;2);=JIKA(D691&lt;=E691;1;2))</f>
        <v/>
      </c>
      <c r="G691">
        <f>JUMLAH(JIKA(F691=0;JUMLAH(PANGKAT(Normalisasi!$J$32-Konvergensi!$B$714;2);PANGKAT(Normalisasi!$K$32-Konvergensi!$C$714;2);PANGKAT(Normalisasi!$L$32-Konvergensi!$D$714;2);PANGKAT(Normalisasi!$M$32-Konvergensi!$E$714;2);PANGKAT(Normalisasi!$N$32-Konvergensi!$F$714;2);PANGKAT(Normalisasi!$O$32-Konvergensi!$G$714;2);PANGKAT(Normalisasi!$P$32-Konvergensi!$H$714;2));0);JIKA(F691=1;JUMLAH(PANGKAT(Normalisasi!$J$32-Konvergensi!$B$715;2);PANGKAT(Normalisasi!$K$32-Konvergensi!$C$715;2);PANGKAT(Normalisasi!$L$32-Konvergensi!$D$715;2);PANGKAT(Normalisasi!$M$32-Konvergensi!$E$715;2);PANGKAT(Normalisasi!$N$32-Konvergensi!$F$715;2);PANGKAT(Normalisasi!$O$32-Konvergensi!$G$715;2);PANGKAT(Normalisasi!$P$32-Konvergensi!$H$715;2));0);JIKA(F691=2;JUMLAH(PANGKAT(Normalisasi!$J$32-Konvergensi!$B$716;2);PANGKAT(Normalisasi!$K$32-Konvergensi!$C$716;2);PANGKAT(Normalisasi!$L$32-Konvergensi!$D$716;2);PANGKAT(Normalisasi!$M$32-Konvergensi!$E$716;2);PANGKAT(Normalisasi!$N$32-Konvergensi!$F$716;2);PANGKAT(Normalisasi!$O$32-Konvergensi!$G$716;2);PANGKAT(Normalisasi!$P$32-Konvergensi!$H$716;2));0))</f>
        <v/>
      </c>
      <c r="H691" t="n">
        <v>0</v>
      </c>
      <c r="I691" t="n">
        <v>5.379815542073412</v>
      </c>
    </row>
    <row r="692">
      <c r="A692">
        <f>Data_Awal!A33</f>
        <v/>
      </c>
      <c r="B692">
        <f>Data_Awal!B33</f>
        <v/>
      </c>
      <c r="C692">
        <f>AKAR(JUMLAH(PANGKAT(Normalisasi!$J$33-Konvergensi!$B$649;2);PANGKAT(Normalisasi!$K$33-Konvergensi!$C$649;2);PANGKAT(Normalisasi!$L$33-Konvergensi!$D$649;2);PANGKAT(Normalisasi!$M$33-Konvergensi!$E$649;2);PANGKAT(Normalisasi!$N$33-Konvergensi!$F$649;2);PANGKAT(Normalisasi!$O$33-Konvergensi!$G$649;2);PANGKAT(Normalisasi!$P$33-Konvergensi!$H$649;2)))</f>
        <v/>
      </c>
      <c r="D692">
        <f>AKAR(JUMLAH(PANGKAT(Normalisasi!$J$33-Konvergensi!$B$650;2);PANGKAT(Normalisasi!$K$33-Konvergensi!$C$650;2);PANGKAT(Normalisasi!$L$33-Konvergensi!$D$650;2);PANGKAT(Normalisasi!$M$33-Konvergensi!$E$650;2);PANGKAT(Normalisasi!$N$33-Konvergensi!$F$650;2);PANGKAT(Normalisasi!$O$33-Konvergensi!$G$650;2);PANGKAT(Normalisasi!$P$33-Konvergensi!$H$650;2)))</f>
        <v/>
      </c>
      <c r="E692">
        <f>AKAR(JUMLAH(PANGKAT(Normalisasi!$J$33-Konvergensi!$B$651;2);PANGKAT(Normalisasi!$K$33-Konvergensi!$C$651;2);PANGKAT(Normalisasi!$L$33-Konvergensi!$D$651;2);PANGKAT(Normalisasi!$M$33-Konvergensi!$E$651;2);PANGKAT(Normalisasi!$N$33-Konvergensi!$F$651;2);PANGKAT(Normalisasi!$O$33-Konvergensi!$G$651;2);PANGKAT(Normalisasi!$P$33-Konvergensi!$H$651;2)))</f>
        <v/>
      </c>
      <c r="F692">
        <f>JIKA(C692&lt;=D692;=JIKA(C692&lt;=E692;0;2);=JIKA(D692&lt;=E692;1;2))</f>
        <v/>
      </c>
      <c r="G692">
        <f>JUMLAH(JIKA(F692=0;JUMLAH(PANGKAT(Normalisasi!$J$33-Konvergensi!$B$714;2);PANGKAT(Normalisasi!$K$33-Konvergensi!$C$714;2);PANGKAT(Normalisasi!$L$33-Konvergensi!$D$714;2);PANGKAT(Normalisasi!$M$33-Konvergensi!$E$714;2);PANGKAT(Normalisasi!$N$33-Konvergensi!$F$714;2);PANGKAT(Normalisasi!$O$33-Konvergensi!$G$714;2);PANGKAT(Normalisasi!$P$33-Konvergensi!$H$714;2));0);JIKA(F692=1;JUMLAH(PANGKAT(Normalisasi!$J$33-Konvergensi!$B$715;2);PANGKAT(Normalisasi!$K$33-Konvergensi!$C$715;2);PANGKAT(Normalisasi!$L$33-Konvergensi!$D$715;2);PANGKAT(Normalisasi!$M$33-Konvergensi!$E$715;2);PANGKAT(Normalisasi!$N$33-Konvergensi!$F$715;2);PANGKAT(Normalisasi!$O$33-Konvergensi!$G$715;2);PANGKAT(Normalisasi!$P$33-Konvergensi!$H$715;2));0);JIKA(F692=2;JUMLAH(PANGKAT(Normalisasi!$J$33-Konvergensi!$B$716;2);PANGKAT(Normalisasi!$K$33-Konvergensi!$C$716;2);PANGKAT(Normalisasi!$L$33-Konvergensi!$D$716;2);PANGKAT(Normalisasi!$M$33-Konvergensi!$E$716;2);PANGKAT(Normalisasi!$N$33-Konvergensi!$F$716;2);PANGKAT(Normalisasi!$O$33-Konvergensi!$G$716;2);PANGKAT(Normalisasi!$P$33-Konvergensi!$H$716;2));0))</f>
        <v/>
      </c>
      <c r="H692" t="n">
        <v>0</v>
      </c>
      <c r="I692" t="n">
        <v>5.786360528693098</v>
      </c>
    </row>
    <row r="693">
      <c r="A693">
        <f>Data_Awal!A34</f>
        <v/>
      </c>
      <c r="B693">
        <f>Data_Awal!B34</f>
        <v/>
      </c>
      <c r="C693">
        <f>AKAR(JUMLAH(PANGKAT(Normalisasi!$J$34-Konvergensi!$B$649;2);PANGKAT(Normalisasi!$K$34-Konvergensi!$C$649;2);PANGKAT(Normalisasi!$L$34-Konvergensi!$D$649;2);PANGKAT(Normalisasi!$M$34-Konvergensi!$E$649;2);PANGKAT(Normalisasi!$N$34-Konvergensi!$F$649;2);PANGKAT(Normalisasi!$O$34-Konvergensi!$G$649;2);PANGKAT(Normalisasi!$P$34-Konvergensi!$H$649;2)))</f>
        <v/>
      </c>
      <c r="D693">
        <f>AKAR(JUMLAH(PANGKAT(Normalisasi!$J$34-Konvergensi!$B$650;2);PANGKAT(Normalisasi!$K$34-Konvergensi!$C$650;2);PANGKAT(Normalisasi!$L$34-Konvergensi!$D$650;2);PANGKAT(Normalisasi!$M$34-Konvergensi!$E$650;2);PANGKAT(Normalisasi!$N$34-Konvergensi!$F$650;2);PANGKAT(Normalisasi!$O$34-Konvergensi!$G$650;2);PANGKAT(Normalisasi!$P$34-Konvergensi!$H$650;2)))</f>
        <v/>
      </c>
      <c r="E693">
        <f>AKAR(JUMLAH(PANGKAT(Normalisasi!$J$34-Konvergensi!$B$651;2);PANGKAT(Normalisasi!$K$34-Konvergensi!$C$651;2);PANGKAT(Normalisasi!$L$34-Konvergensi!$D$651;2);PANGKAT(Normalisasi!$M$34-Konvergensi!$E$651;2);PANGKAT(Normalisasi!$N$34-Konvergensi!$F$651;2);PANGKAT(Normalisasi!$O$34-Konvergensi!$G$651;2);PANGKAT(Normalisasi!$P$34-Konvergensi!$H$651;2)))</f>
        <v/>
      </c>
      <c r="F693">
        <f>JIKA(C693&lt;=D693;=JIKA(C693&lt;=E693;0;2);=JIKA(D693&lt;=E693;1;2))</f>
        <v/>
      </c>
      <c r="G693">
        <f>JUMLAH(JIKA(F693=0;JUMLAH(PANGKAT(Normalisasi!$J$34-Konvergensi!$B$714;2);PANGKAT(Normalisasi!$K$34-Konvergensi!$C$714;2);PANGKAT(Normalisasi!$L$34-Konvergensi!$D$714;2);PANGKAT(Normalisasi!$M$34-Konvergensi!$E$714;2);PANGKAT(Normalisasi!$N$34-Konvergensi!$F$714;2);PANGKAT(Normalisasi!$O$34-Konvergensi!$G$714;2);PANGKAT(Normalisasi!$P$34-Konvergensi!$H$714;2));0);JIKA(F693=1;JUMLAH(PANGKAT(Normalisasi!$J$34-Konvergensi!$B$715;2);PANGKAT(Normalisasi!$K$34-Konvergensi!$C$715;2);PANGKAT(Normalisasi!$L$34-Konvergensi!$D$715;2);PANGKAT(Normalisasi!$M$34-Konvergensi!$E$715;2);PANGKAT(Normalisasi!$N$34-Konvergensi!$F$715;2);PANGKAT(Normalisasi!$O$34-Konvergensi!$G$715;2);PANGKAT(Normalisasi!$P$34-Konvergensi!$H$715;2));0);JIKA(F693=2;JUMLAH(PANGKAT(Normalisasi!$J$34-Konvergensi!$B$716;2);PANGKAT(Normalisasi!$K$34-Konvergensi!$C$716;2);PANGKAT(Normalisasi!$L$34-Konvergensi!$D$716;2);PANGKAT(Normalisasi!$M$34-Konvergensi!$E$716;2);PANGKAT(Normalisasi!$N$34-Konvergensi!$F$716;2);PANGKAT(Normalisasi!$O$34-Konvergensi!$G$716;2);PANGKAT(Normalisasi!$P$34-Konvergensi!$H$716;2));0))</f>
        <v/>
      </c>
      <c r="H693" t="n">
        <v>1</v>
      </c>
      <c r="I693" t="n">
        <v>1.796962155428233</v>
      </c>
    </row>
    <row r="694">
      <c r="A694">
        <f>Data_Awal!A35</f>
        <v/>
      </c>
      <c r="B694">
        <f>Data_Awal!B35</f>
        <v/>
      </c>
      <c r="C694">
        <f>AKAR(JUMLAH(PANGKAT(Normalisasi!$J$35-Konvergensi!$B$649;2);PANGKAT(Normalisasi!$K$35-Konvergensi!$C$649;2);PANGKAT(Normalisasi!$L$35-Konvergensi!$D$649;2);PANGKAT(Normalisasi!$M$35-Konvergensi!$E$649;2);PANGKAT(Normalisasi!$N$35-Konvergensi!$F$649;2);PANGKAT(Normalisasi!$O$35-Konvergensi!$G$649;2);PANGKAT(Normalisasi!$P$35-Konvergensi!$H$649;2)))</f>
        <v/>
      </c>
      <c r="D694">
        <f>AKAR(JUMLAH(PANGKAT(Normalisasi!$J$35-Konvergensi!$B$650;2);PANGKAT(Normalisasi!$K$35-Konvergensi!$C$650;2);PANGKAT(Normalisasi!$L$35-Konvergensi!$D$650;2);PANGKAT(Normalisasi!$M$35-Konvergensi!$E$650;2);PANGKAT(Normalisasi!$N$35-Konvergensi!$F$650;2);PANGKAT(Normalisasi!$O$35-Konvergensi!$G$650;2);PANGKAT(Normalisasi!$P$35-Konvergensi!$H$650;2)))</f>
        <v/>
      </c>
      <c r="E694">
        <f>AKAR(JUMLAH(PANGKAT(Normalisasi!$J$35-Konvergensi!$B$651;2);PANGKAT(Normalisasi!$K$35-Konvergensi!$C$651;2);PANGKAT(Normalisasi!$L$35-Konvergensi!$D$651;2);PANGKAT(Normalisasi!$M$35-Konvergensi!$E$651;2);PANGKAT(Normalisasi!$N$35-Konvergensi!$F$651;2);PANGKAT(Normalisasi!$O$35-Konvergensi!$G$651;2);PANGKAT(Normalisasi!$P$35-Konvergensi!$H$651;2)))</f>
        <v/>
      </c>
      <c r="F694">
        <f>JIKA(C694&lt;=D694;=JIKA(C694&lt;=E694;0;2);=JIKA(D694&lt;=E694;1;2))</f>
        <v/>
      </c>
      <c r="G694">
        <f>JUMLAH(JIKA(F694=0;JUMLAH(PANGKAT(Normalisasi!$J$35-Konvergensi!$B$714;2);PANGKAT(Normalisasi!$K$35-Konvergensi!$C$714;2);PANGKAT(Normalisasi!$L$35-Konvergensi!$D$714;2);PANGKAT(Normalisasi!$M$35-Konvergensi!$E$714;2);PANGKAT(Normalisasi!$N$35-Konvergensi!$F$714;2);PANGKAT(Normalisasi!$O$35-Konvergensi!$G$714;2);PANGKAT(Normalisasi!$P$35-Konvergensi!$H$714;2));0);JIKA(F694=1;JUMLAH(PANGKAT(Normalisasi!$J$35-Konvergensi!$B$715;2);PANGKAT(Normalisasi!$K$35-Konvergensi!$C$715;2);PANGKAT(Normalisasi!$L$35-Konvergensi!$D$715;2);PANGKAT(Normalisasi!$M$35-Konvergensi!$E$715;2);PANGKAT(Normalisasi!$N$35-Konvergensi!$F$715;2);PANGKAT(Normalisasi!$O$35-Konvergensi!$G$715;2);PANGKAT(Normalisasi!$P$35-Konvergensi!$H$715;2));0);JIKA(F694=2;JUMLAH(PANGKAT(Normalisasi!$J$35-Konvergensi!$B$716;2);PANGKAT(Normalisasi!$K$35-Konvergensi!$C$716;2);PANGKAT(Normalisasi!$L$35-Konvergensi!$D$716;2);PANGKAT(Normalisasi!$M$35-Konvergensi!$E$716;2);PANGKAT(Normalisasi!$N$35-Konvergensi!$F$716;2);PANGKAT(Normalisasi!$O$35-Konvergensi!$G$716;2);PANGKAT(Normalisasi!$P$35-Konvergensi!$H$716;2));0))</f>
        <v/>
      </c>
      <c r="H694" t="n">
        <v>0</v>
      </c>
      <c r="I694" t="n">
        <v>4.596909977941018</v>
      </c>
    </row>
    <row r="695">
      <c r="A695">
        <f>Data_Awal!A36</f>
        <v/>
      </c>
      <c r="B695">
        <f>Data_Awal!B36</f>
        <v/>
      </c>
      <c r="C695">
        <f>AKAR(JUMLAH(PANGKAT(Normalisasi!$J$36-Konvergensi!$B$649;2);PANGKAT(Normalisasi!$K$36-Konvergensi!$C$649;2);PANGKAT(Normalisasi!$L$36-Konvergensi!$D$649;2);PANGKAT(Normalisasi!$M$36-Konvergensi!$E$649;2);PANGKAT(Normalisasi!$N$36-Konvergensi!$F$649;2);PANGKAT(Normalisasi!$O$36-Konvergensi!$G$649;2);PANGKAT(Normalisasi!$P$36-Konvergensi!$H$649;2)))</f>
        <v/>
      </c>
      <c r="D695">
        <f>AKAR(JUMLAH(PANGKAT(Normalisasi!$J$36-Konvergensi!$B$650;2);PANGKAT(Normalisasi!$K$36-Konvergensi!$C$650;2);PANGKAT(Normalisasi!$L$36-Konvergensi!$D$650;2);PANGKAT(Normalisasi!$M$36-Konvergensi!$E$650;2);PANGKAT(Normalisasi!$N$36-Konvergensi!$F$650;2);PANGKAT(Normalisasi!$O$36-Konvergensi!$G$650;2);PANGKAT(Normalisasi!$P$36-Konvergensi!$H$650;2)))</f>
        <v/>
      </c>
      <c r="E695">
        <f>AKAR(JUMLAH(PANGKAT(Normalisasi!$J$36-Konvergensi!$B$651;2);PANGKAT(Normalisasi!$K$36-Konvergensi!$C$651;2);PANGKAT(Normalisasi!$L$36-Konvergensi!$D$651;2);PANGKAT(Normalisasi!$M$36-Konvergensi!$E$651;2);PANGKAT(Normalisasi!$N$36-Konvergensi!$F$651;2);PANGKAT(Normalisasi!$O$36-Konvergensi!$G$651;2);PANGKAT(Normalisasi!$P$36-Konvergensi!$H$651;2)))</f>
        <v/>
      </c>
      <c r="F695">
        <f>JIKA(C695&lt;=D695;=JIKA(C695&lt;=E695;0;2);=JIKA(D695&lt;=E695;1;2))</f>
        <v/>
      </c>
      <c r="G695">
        <f>JUMLAH(JIKA(F695=0;JUMLAH(PANGKAT(Normalisasi!$J$36-Konvergensi!$B$714;2);PANGKAT(Normalisasi!$K$36-Konvergensi!$C$714;2);PANGKAT(Normalisasi!$L$36-Konvergensi!$D$714;2);PANGKAT(Normalisasi!$M$36-Konvergensi!$E$714;2);PANGKAT(Normalisasi!$N$36-Konvergensi!$F$714;2);PANGKAT(Normalisasi!$O$36-Konvergensi!$G$714;2);PANGKAT(Normalisasi!$P$36-Konvergensi!$H$714;2));0);JIKA(F695=1;JUMLAH(PANGKAT(Normalisasi!$J$36-Konvergensi!$B$715;2);PANGKAT(Normalisasi!$K$36-Konvergensi!$C$715;2);PANGKAT(Normalisasi!$L$36-Konvergensi!$D$715;2);PANGKAT(Normalisasi!$M$36-Konvergensi!$E$715;2);PANGKAT(Normalisasi!$N$36-Konvergensi!$F$715;2);PANGKAT(Normalisasi!$O$36-Konvergensi!$G$715;2);PANGKAT(Normalisasi!$P$36-Konvergensi!$H$715;2));0);JIKA(F695=2;JUMLAH(PANGKAT(Normalisasi!$J$36-Konvergensi!$B$716;2);PANGKAT(Normalisasi!$K$36-Konvergensi!$C$716;2);PANGKAT(Normalisasi!$L$36-Konvergensi!$D$716;2);PANGKAT(Normalisasi!$M$36-Konvergensi!$E$716;2);PANGKAT(Normalisasi!$N$36-Konvergensi!$F$716;2);PANGKAT(Normalisasi!$O$36-Konvergensi!$G$716;2);PANGKAT(Normalisasi!$P$36-Konvergensi!$H$716;2));0))</f>
        <v/>
      </c>
      <c r="H695" t="n">
        <v>0</v>
      </c>
      <c r="I695" t="n">
        <v>4.545661235128462</v>
      </c>
    </row>
    <row r="696">
      <c r="A696">
        <f>Data_Awal!A37</f>
        <v/>
      </c>
      <c r="B696">
        <f>Data_Awal!B37</f>
        <v/>
      </c>
      <c r="C696">
        <f>AKAR(JUMLAH(PANGKAT(Normalisasi!$J$37-Konvergensi!$B$649;2);PANGKAT(Normalisasi!$K$37-Konvergensi!$C$649;2);PANGKAT(Normalisasi!$L$37-Konvergensi!$D$649;2);PANGKAT(Normalisasi!$M$37-Konvergensi!$E$649;2);PANGKAT(Normalisasi!$N$37-Konvergensi!$F$649;2);PANGKAT(Normalisasi!$O$37-Konvergensi!$G$649;2);PANGKAT(Normalisasi!$P$37-Konvergensi!$H$649;2)))</f>
        <v/>
      </c>
      <c r="D696">
        <f>AKAR(JUMLAH(PANGKAT(Normalisasi!$J$37-Konvergensi!$B$650;2);PANGKAT(Normalisasi!$K$37-Konvergensi!$C$650;2);PANGKAT(Normalisasi!$L$37-Konvergensi!$D$650;2);PANGKAT(Normalisasi!$M$37-Konvergensi!$E$650;2);PANGKAT(Normalisasi!$N$37-Konvergensi!$F$650;2);PANGKAT(Normalisasi!$O$37-Konvergensi!$G$650;2);PANGKAT(Normalisasi!$P$37-Konvergensi!$H$650;2)))</f>
        <v/>
      </c>
      <c r="E696">
        <f>AKAR(JUMLAH(PANGKAT(Normalisasi!$J$37-Konvergensi!$B$651;2);PANGKAT(Normalisasi!$K$37-Konvergensi!$C$651;2);PANGKAT(Normalisasi!$L$37-Konvergensi!$D$651;2);PANGKAT(Normalisasi!$M$37-Konvergensi!$E$651;2);PANGKAT(Normalisasi!$N$37-Konvergensi!$F$651;2);PANGKAT(Normalisasi!$O$37-Konvergensi!$G$651;2);PANGKAT(Normalisasi!$P$37-Konvergensi!$H$651;2)))</f>
        <v/>
      </c>
      <c r="F696">
        <f>JIKA(C696&lt;=D696;=JIKA(C696&lt;=E696;0;2);=JIKA(D696&lt;=E696;1;2))</f>
        <v/>
      </c>
      <c r="G696">
        <f>JUMLAH(JIKA(F696=0;JUMLAH(PANGKAT(Normalisasi!$J$37-Konvergensi!$B$714;2);PANGKAT(Normalisasi!$K$37-Konvergensi!$C$714;2);PANGKAT(Normalisasi!$L$37-Konvergensi!$D$714;2);PANGKAT(Normalisasi!$M$37-Konvergensi!$E$714;2);PANGKAT(Normalisasi!$N$37-Konvergensi!$F$714;2);PANGKAT(Normalisasi!$O$37-Konvergensi!$G$714;2);PANGKAT(Normalisasi!$P$37-Konvergensi!$H$714;2));0);JIKA(F696=1;JUMLAH(PANGKAT(Normalisasi!$J$37-Konvergensi!$B$715;2);PANGKAT(Normalisasi!$K$37-Konvergensi!$C$715;2);PANGKAT(Normalisasi!$L$37-Konvergensi!$D$715;2);PANGKAT(Normalisasi!$M$37-Konvergensi!$E$715;2);PANGKAT(Normalisasi!$N$37-Konvergensi!$F$715;2);PANGKAT(Normalisasi!$O$37-Konvergensi!$G$715;2);PANGKAT(Normalisasi!$P$37-Konvergensi!$H$715;2));0);JIKA(F696=2;JUMLAH(PANGKAT(Normalisasi!$J$37-Konvergensi!$B$716;2);PANGKAT(Normalisasi!$K$37-Konvergensi!$C$716;2);PANGKAT(Normalisasi!$L$37-Konvergensi!$D$716;2);PANGKAT(Normalisasi!$M$37-Konvergensi!$E$716;2);PANGKAT(Normalisasi!$N$37-Konvergensi!$F$716;2);PANGKAT(Normalisasi!$O$37-Konvergensi!$G$716;2);PANGKAT(Normalisasi!$P$37-Konvergensi!$H$716;2));0))</f>
        <v/>
      </c>
      <c r="H696" t="n">
        <v>2</v>
      </c>
      <c r="I696" t="n">
        <v>5.970278999693795</v>
      </c>
    </row>
    <row r="697">
      <c r="A697">
        <f>Data_Awal!A38</f>
        <v/>
      </c>
      <c r="B697">
        <f>Data_Awal!B38</f>
        <v/>
      </c>
      <c r="C697">
        <f>AKAR(JUMLAH(PANGKAT(Normalisasi!$J$38-Konvergensi!$B$649;2);PANGKAT(Normalisasi!$K$38-Konvergensi!$C$649;2);PANGKAT(Normalisasi!$L$38-Konvergensi!$D$649;2);PANGKAT(Normalisasi!$M$38-Konvergensi!$E$649;2);PANGKAT(Normalisasi!$N$38-Konvergensi!$F$649;2);PANGKAT(Normalisasi!$O$38-Konvergensi!$G$649;2);PANGKAT(Normalisasi!$P$38-Konvergensi!$H$649;2)))</f>
        <v/>
      </c>
      <c r="D697">
        <f>AKAR(JUMLAH(PANGKAT(Normalisasi!$J$38-Konvergensi!$B$650;2);PANGKAT(Normalisasi!$K$38-Konvergensi!$C$650;2);PANGKAT(Normalisasi!$L$38-Konvergensi!$D$650;2);PANGKAT(Normalisasi!$M$38-Konvergensi!$E$650;2);PANGKAT(Normalisasi!$N$38-Konvergensi!$F$650;2);PANGKAT(Normalisasi!$O$38-Konvergensi!$G$650;2);PANGKAT(Normalisasi!$P$38-Konvergensi!$H$650;2)))</f>
        <v/>
      </c>
      <c r="E697">
        <f>AKAR(JUMLAH(PANGKAT(Normalisasi!$J$38-Konvergensi!$B$651;2);PANGKAT(Normalisasi!$K$38-Konvergensi!$C$651;2);PANGKAT(Normalisasi!$L$38-Konvergensi!$D$651;2);PANGKAT(Normalisasi!$M$38-Konvergensi!$E$651;2);PANGKAT(Normalisasi!$N$38-Konvergensi!$F$651;2);PANGKAT(Normalisasi!$O$38-Konvergensi!$G$651;2);PANGKAT(Normalisasi!$P$38-Konvergensi!$H$651;2)))</f>
        <v/>
      </c>
      <c r="F697">
        <f>JIKA(C697&lt;=D697;=JIKA(C697&lt;=E697;0;2);=JIKA(D697&lt;=E697;1;2))</f>
        <v/>
      </c>
      <c r="G697">
        <f>JUMLAH(JIKA(F697=0;JUMLAH(PANGKAT(Normalisasi!$J$38-Konvergensi!$B$714;2);PANGKAT(Normalisasi!$K$38-Konvergensi!$C$714;2);PANGKAT(Normalisasi!$L$38-Konvergensi!$D$714;2);PANGKAT(Normalisasi!$M$38-Konvergensi!$E$714;2);PANGKAT(Normalisasi!$N$38-Konvergensi!$F$714;2);PANGKAT(Normalisasi!$O$38-Konvergensi!$G$714;2);PANGKAT(Normalisasi!$P$38-Konvergensi!$H$714;2));0);JIKA(F697=1;JUMLAH(PANGKAT(Normalisasi!$J$38-Konvergensi!$B$715;2);PANGKAT(Normalisasi!$K$38-Konvergensi!$C$715;2);PANGKAT(Normalisasi!$L$38-Konvergensi!$D$715;2);PANGKAT(Normalisasi!$M$38-Konvergensi!$E$715;2);PANGKAT(Normalisasi!$N$38-Konvergensi!$F$715;2);PANGKAT(Normalisasi!$O$38-Konvergensi!$G$715;2);PANGKAT(Normalisasi!$P$38-Konvergensi!$H$715;2));0);JIKA(F697=2;JUMLAH(PANGKAT(Normalisasi!$J$38-Konvergensi!$B$716;2);PANGKAT(Normalisasi!$K$38-Konvergensi!$C$716;2);PANGKAT(Normalisasi!$L$38-Konvergensi!$D$716;2);PANGKAT(Normalisasi!$M$38-Konvergensi!$E$716;2);PANGKAT(Normalisasi!$N$38-Konvergensi!$F$716;2);PANGKAT(Normalisasi!$O$38-Konvergensi!$G$716;2);PANGKAT(Normalisasi!$P$38-Konvergensi!$H$716;2));0))</f>
        <v/>
      </c>
      <c r="H697" t="n">
        <v>1</v>
      </c>
      <c r="I697" t="n">
        <v>4.046573155424091</v>
      </c>
    </row>
    <row r="698">
      <c r="A698">
        <f>Data_Awal!A39</f>
        <v/>
      </c>
      <c r="B698">
        <f>Data_Awal!B39</f>
        <v/>
      </c>
      <c r="C698">
        <f>AKAR(JUMLAH(PANGKAT(Normalisasi!$J$39-Konvergensi!$B$649;2);PANGKAT(Normalisasi!$K$39-Konvergensi!$C$649;2);PANGKAT(Normalisasi!$L$39-Konvergensi!$D$649;2);PANGKAT(Normalisasi!$M$39-Konvergensi!$E$649;2);PANGKAT(Normalisasi!$N$39-Konvergensi!$F$649;2);PANGKAT(Normalisasi!$O$39-Konvergensi!$G$649;2);PANGKAT(Normalisasi!$P$39-Konvergensi!$H$649;2)))</f>
        <v/>
      </c>
      <c r="D698">
        <f>AKAR(JUMLAH(PANGKAT(Normalisasi!$J$39-Konvergensi!$B$650;2);PANGKAT(Normalisasi!$K$39-Konvergensi!$C$650;2);PANGKAT(Normalisasi!$L$39-Konvergensi!$D$650;2);PANGKAT(Normalisasi!$M$39-Konvergensi!$E$650;2);PANGKAT(Normalisasi!$N$39-Konvergensi!$F$650;2);PANGKAT(Normalisasi!$O$39-Konvergensi!$G$650;2);PANGKAT(Normalisasi!$P$39-Konvergensi!$H$650;2)))</f>
        <v/>
      </c>
      <c r="E698">
        <f>AKAR(JUMLAH(PANGKAT(Normalisasi!$J$39-Konvergensi!$B$651;2);PANGKAT(Normalisasi!$K$39-Konvergensi!$C$651;2);PANGKAT(Normalisasi!$L$39-Konvergensi!$D$651;2);PANGKAT(Normalisasi!$M$39-Konvergensi!$E$651;2);PANGKAT(Normalisasi!$N$39-Konvergensi!$F$651;2);PANGKAT(Normalisasi!$O$39-Konvergensi!$G$651;2);PANGKAT(Normalisasi!$P$39-Konvergensi!$H$651;2)))</f>
        <v/>
      </c>
      <c r="F698">
        <f>JIKA(C698&lt;=D698;=JIKA(C698&lt;=E698;0;2);=JIKA(D698&lt;=E698;1;2))</f>
        <v/>
      </c>
      <c r="G698">
        <f>JUMLAH(JIKA(F698=0;JUMLAH(PANGKAT(Normalisasi!$J$39-Konvergensi!$B$714;2);PANGKAT(Normalisasi!$K$39-Konvergensi!$C$714;2);PANGKAT(Normalisasi!$L$39-Konvergensi!$D$714;2);PANGKAT(Normalisasi!$M$39-Konvergensi!$E$714;2);PANGKAT(Normalisasi!$N$39-Konvergensi!$F$714;2);PANGKAT(Normalisasi!$O$39-Konvergensi!$G$714;2);PANGKAT(Normalisasi!$P$39-Konvergensi!$H$714;2));0);JIKA(F698=1;JUMLAH(PANGKAT(Normalisasi!$J$39-Konvergensi!$B$715;2);PANGKAT(Normalisasi!$K$39-Konvergensi!$C$715;2);PANGKAT(Normalisasi!$L$39-Konvergensi!$D$715;2);PANGKAT(Normalisasi!$M$39-Konvergensi!$E$715;2);PANGKAT(Normalisasi!$N$39-Konvergensi!$F$715;2);PANGKAT(Normalisasi!$O$39-Konvergensi!$G$715;2);PANGKAT(Normalisasi!$P$39-Konvergensi!$H$715;2));0);JIKA(F698=2;JUMLAH(PANGKAT(Normalisasi!$J$39-Konvergensi!$B$716;2);PANGKAT(Normalisasi!$K$39-Konvergensi!$C$716;2);PANGKAT(Normalisasi!$L$39-Konvergensi!$D$716;2);PANGKAT(Normalisasi!$M$39-Konvergensi!$E$716;2);PANGKAT(Normalisasi!$N$39-Konvergensi!$F$716;2);PANGKAT(Normalisasi!$O$39-Konvergensi!$G$716;2);PANGKAT(Normalisasi!$P$39-Konvergensi!$H$716;2));0))</f>
        <v/>
      </c>
      <c r="H698" t="n">
        <v>0</v>
      </c>
      <c r="I698" t="n">
        <v>10.55351978764189</v>
      </c>
    </row>
    <row r="699">
      <c r="A699">
        <f>Data_Awal!A40</f>
        <v/>
      </c>
      <c r="B699">
        <f>Data_Awal!B40</f>
        <v/>
      </c>
      <c r="C699">
        <f>AKAR(JUMLAH(PANGKAT(Normalisasi!$J$40-Konvergensi!$B$649;2);PANGKAT(Normalisasi!$K$40-Konvergensi!$C$649;2);PANGKAT(Normalisasi!$L$40-Konvergensi!$D$649;2);PANGKAT(Normalisasi!$M$40-Konvergensi!$E$649;2);PANGKAT(Normalisasi!$N$40-Konvergensi!$F$649;2);PANGKAT(Normalisasi!$O$40-Konvergensi!$G$649;2);PANGKAT(Normalisasi!$P$40-Konvergensi!$H$649;2)))</f>
        <v/>
      </c>
      <c r="D699">
        <f>AKAR(JUMLAH(PANGKAT(Normalisasi!$J$40-Konvergensi!$B$650;2);PANGKAT(Normalisasi!$K$40-Konvergensi!$C$650;2);PANGKAT(Normalisasi!$L$40-Konvergensi!$D$650;2);PANGKAT(Normalisasi!$M$40-Konvergensi!$E$650;2);PANGKAT(Normalisasi!$N$40-Konvergensi!$F$650;2);PANGKAT(Normalisasi!$O$40-Konvergensi!$G$650;2);PANGKAT(Normalisasi!$P$40-Konvergensi!$H$650;2)))</f>
        <v/>
      </c>
      <c r="E699">
        <f>AKAR(JUMLAH(PANGKAT(Normalisasi!$J$40-Konvergensi!$B$651;2);PANGKAT(Normalisasi!$K$40-Konvergensi!$C$651;2);PANGKAT(Normalisasi!$L$40-Konvergensi!$D$651;2);PANGKAT(Normalisasi!$M$40-Konvergensi!$E$651;2);PANGKAT(Normalisasi!$N$40-Konvergensi!$F$651;2);PANGKAT(Normalisasi!$O$40-Konvergensi!$G$651;2);PANGKAT(Normalisasi!$P$40-Konvergensi!$H$651;2)))</f>
        <v/>
      </c>
      <c r="F699">
        <f>JIKA(C699&lt;=D699;=JIKA(C699&lt;=E699;0;2);=JIKA(D699&lt;=E699;1;2))</f>
        <v/>
      </c>
      <c r="G699">
        <f>JUMLAH(JIKA(F699=0;JUMLAH(PANGKAT(Normalisasi!$J$40-Konvergensi!$B$714;2);PANGKAT(Normalisasi!$K$40-Konvergensi!$C$714;2);PANGKAT(Normalisasi!$L$40-Konvergensi!$D$714;2);PANGKAT(Normalisasi!$M$40-Konvergensi!$E$714;2);PANGKAT(Normalisasi!$N$40-Konvergensi!$F$714;2);PANGKAT(Normalisasi!$O$40-Konvergensi!$G$714;2);PANGKAT(Normalisasi!$P$40-Konvergensi!$H$714;2));0);JIKA(F699=1;JUMLAH(PANGKAT(Normalisasi!$J$40-Konvergensi!$B$715;2);PANGKAT(Normalisasi!$K$40-Konvergensi!$C$715;2);PANGKAT(Normalisasi!$L$40-Konvergensi!$D$715;2);PANGKAT(Normalisasi!$M$40-Konvergensi!$E$715;2);PANGKAT(Normalisasi!$N$40-Konvergensi!$F$715;2);PANGKAT(Normalisasi!$O$40-Konvergensi!$G$715;2);PANGKAT(Normalisasi!$P$40-Konvergensi!$H$715;2));0);JIKA(F699=2;JUMLAH(PANGKAT(Normalisasi!$J$40-Konvergensi!$B$716;2);PANGKAT(Normalisasi!$K$40-Konvergensi!$C$716;2);PANGKAT(Normalisasi!$L$40-Konvergensi!$D$716;2);PANGKAT(Normalisasi!$M$40-Konvergensi!$E$716;2);PANGKAT(Normalisasi!$N$40-Konvergensi!$F$716;2);PANGKAT(Normalisasi!$O$40-Konvergensi!$G$716;2);PANGKAT(Normalisasi!$P$40-Konvergensi!$H$716;2));0))</f>
        <v/>
      </c>
      <c r="H699" t="n">
        <v>1</v>
      </c>
      <c r="I699" t="n">
        <v>4.741221600312443</v>
      </c>
    </row>
    <row r="700">
      <c r="A700">
        <f>Data_Awal!A41</f>
        <v/>
      </c>
      <c r="B700">
        <f>Data_Awal!B41</f>
        <v/>
      </c>
      <c r="C700">
        <f>AKAR(JUMLAH(PANGKAT(Normalisasi!$J$41-Konvergensi!$B$649;2);PANGKAT(Normalisasi!$K$41-Konvergensi!$C$649;2);PANGKAT(Normalisasi!$L$41-Konvergensi!$D$649;2);PANGKAT(Normalisasi!$M$41-Konvergensi!$E$649;2);PANGKAT(Normalisasi!$N$41-Konvergensi!$F$649;2);PANGKAT(Normalisasi!$O$41-Konvergensi!$G$649;2);PANGKAT(Normalisasi!$P$41-Konvergensi!$H$649;2)))</f>
        <v/>
      </c>
      <c r="D700">
        <f>AKAR(JUMLAH(PANGKAT(Normalisasi!$J$41-Konvergensi!$B$650;2);PANGKAT(Normalisasi!$K$41-Konvergensi!$C$650;2);PANGKAT(Normalisasi!$L$41-Konvergensi!$D$650;2);PANGKAT(Normalisasi!$M$41-Konvergensi!$E$650;2);PANGKAT(Normalisasi!$N$41-Konvergensi!$F$650;2);PANGKAT(Normalisasi!$O$41-Konvergensi!$G$650;2);PANGKAT(Normalisasi!$P$41-Konvergensi!$H$650;2)))</f>
        <v/>
      </c>
      <c r="E700">
        <f>AKAR(JUMLAH(PANGKAT(Normalisasi!$J$41-Konvergensi!$B$651;2);PANGKAT(Normalisasi!$K$41-Konvergensi!$C$651;2);PANGKAT(Normalisasi!$L$41-Konvergensi!$D$651;2);PANGKAT(Normalisasi!$M$41-Konvergensi!$E$651;2);PANGKAT(Normalisasi!$N$41-Konvergensi!$F$651;2);PANGKAT(Normalisasi!$O$41-Konvergensi!$G$651;2);PANGKAT(Normalisasi!$P$41-Konvergensi!$H$651;2)))</f>
        <v/>
      </c>
      <c r="F700">
        <f>JIKA(C700&lt;=D700;=JIKA(C700&lt;=E700;0;2);=JIKA(D700&lt;=E700;1;2))</f>
        <v/>
      </c>
      <c r="G700">
        <f>JUMLAH(JIKA(F700=0;JUMLAH(PANGKAT(Normalisasi!$J$41-Konvergensi!$B$714;2);PANGKAT(Normalisasi!$K$41-Konvergensi!$C$714;2);PANGKAT(Normalisasi!$L$41-Konvergensi!$D$714;2);PANGKAT(Normalisasi!$M$41-Konvergensi!$E$714;2);PANGKAT(Normalisasi!$N$41-Konvergensi!$F$714;2);PANGKAT(Normalisasi!$O$41-Konvergensi!$G$714;2);PANGKAT(Normalisasi!$P$41-Konvergensi!$H$714;2));0);JIKA(F700=1;JUMLAH(PANGKAT(Normalisasi!$J$41-Konvergensi!$B$715;2);PANGKAT(Normalisasi!$K$41-Konvergensi!$C$715;2);PANGKAT(Normalisasi!$L$41-Konvergensi!$D$715;2);PANGKAT(Normalisasi!$M$41-Konvergensi!$E$715;2);PANGKAT(Normalisasi!$N$41-Konvergensi!$F$715;2);PANGKAT(Normalisasi!$O$41-Konvergensi!$G$715;2);PANGKAT(Normalisasi!$P$41-Konvergensi!$H$715;2));0);JIKA(F700=2;JUMLAH(PANGKAT(Normalisasi!$J$41-Konvergensi!$B$716;2);PANGKAT(Normalisasi!$K$41-Konvergensi!$C$716;2);PANGKAT(Normalisasi!$L$41-Konvergensi!$D$716;2);PANGKAT(Normalisasi!$M$41-Konvergensi!$E$716;2);PANGKAT(Normalisasi!$N$41-Konvergensi!$F$716;2);PANGKAT(Normalisasi!$O$41-Konvergensi!$G$716;2);PANGKAT(Normalisasi!$P$41-Konvergensi!$H$716;2));0))</f>
        <v/>
      </c>
      <c r="H700" t="n">
        <v>1</v>
      </c>
      <c r="I700" t="n">
        <v>7.305191963054995</v>
      </c>
    </row>
    <row r="701">
      <c r="A701">
        <f>Data_Awal!A42</f>
        <v/>
      </c>
      <c r="B701">
        <f>Data_Awal!B42</f>
        <v/>
      </c>
      <c r="C701">
        <f>AKAR(JUMLAH(PANGKAT(Normalisasi!$J$42-Konvergensi!$B$649;2);PANGKAT(Normalisasi!$K$42-Konvergensi!$C$649;2);PANGKAT(Normalisasi!$L$42-Konvergensi!$D$649;2);PANGKAT(Normalisasi!$M$42-Konvergensi!$E$649;2);PANGKAT(Normalisasi!$N$42-Konvergensi!$F$649;2);PANGKAT(Normalisasi!$O$42-Konvergensi!$G$649;2);PANGKAT(Normalisasi!$P$42-Konvergensi!$H$649;2)))</f>
        <v/>
      </c>
      <c r="D701">
        <f>AKAR(JUMLAH(PANGKAT(Normalisasi!$J$42-Konvergensi!$B$650;2);PANGKAT(Normalisasi!$K$42-Konvergensi!$C$650;2);PANGKAT(Normalisasi!$L$42-Konvergensi!$D$650;2);PANGKAT(Normalisasi!$M$42-Konvergensi!$E$650;2);PANGKAT(Normalisasi!$N$42-Konvergensi!$F$650;2);PANGKAT(Normalisasi!$O$42-Konvergensi!$G$650;2);PANGKAT(Normalisasi!$P$42-Konvergensi!$H$650;2)))</f>
        <v/>
      </c>
      <c r="E701">
        <f>AKAR(JUMLAH(PANGKAT(Normalisasi!$J$42-Konvergensi!$B$651;2);PANGKAT(Normalisasi!$K$42-Konvergensi!$C$651;2);PANGKAT(Normalisasi!$L$42-Konvergensi!$D$651;2);PANGKAT(Normalisasi!$M$42-Konvergensi!$E$651;2);PANGKAT(Normalisasi!$N$42-Konvergensi!$F$651;2);PANGKAT(Normalisasi!$O$42-Konvergensi!$G$651;2);PANGKAT(Normalisasi!$P$42-Konvergensi!$H$651;2)))</f>
        <v/>
      </c>
      <c r="F701">
        <f>JIKA(C701&lt;=D701;=JIKA(C701&lt;=E701;0;2);=JIKA(D701&lt;=E701;1;2))</f>
        <v/>
      </c>
      <c r="G701">
        <f>JUMLAH(JIKA(F701=0;JUMLAH(PANGKAT(Normalisasi!$J$42-Konvergensi!$B$714;2);PANGKAT(Normalisasi!$K$42-Konvergensi!$C$714;2);PANGKAT(Normalisasi!$L$42-Konvergensi!$D$714;2);PANGKAT(Normalisasi!$M$42-Konvergensi!$E$714;2);PANGKAT(Normalisasi!$N$42-Konvergensi!$F$714;2);PANGKAT(Normalisasi!$O$42-Konvergensi!$G$714;2);PANGKAT(Normalisasi!$P$42-Konvergensi!$H$714;2));0);JIKA(F701=1;JUMLAH(PANGKAT(Normalisasi!$J$42-Konvergensi!$B$715;2);PANGKAT(Normalisasi!$K$42-Konvergensi!$C$715;2);PANGKAT(Normalisasi!$L$42-Konvergensi!$D$715;2);PANGKAT(Normalisasi!$M$42-Konvergensi!$E$715;2);PANGKAT(Normalisasi!$N$42-Konvergensi!$F$715;2);PANGKAT(Normalisasi!$O$42-Konvergensi!$G$715;2);PANGKAT(Normalisasi!$P$42-Konvergensi!$H$715;2));0);JIKA(F701=2;JUMLAH(PANGKAT(Normalisasi!$J$42-Konvergensi!$B$716;2);PANGKAT(Normalisasi!$K$42-Konvergensi!$C$716;2);PANGKAT(Normalisasi!$L$42-Konvergensi!$D$716;2);PANGKAT(Normalisasi!$M$42-Konvergensi!$E$716;2);PANGKAT(Normalisasi!$N$42-Konvergensi!$F$716;2);PANGKAT(Normalisasi!$O$42-Konvergensi!$G$716;2);PANGKAT(Normalisasi!$P$42-Konvergensi!$H$716;2));0))</f>
        <v/>
      </c>
      <c r="H701" t="n">
        <v>2</v>
      </c>
      <c r="I701" t="n">
        <v>2.144323817449085</v>
      </c>
    </row>
    <row r="702">
      <c r="A702">
        <f>Data_Awal!A43</f>
        <v/>
      </c>
      <c r="B702">
        <f>Data_Awal!B43</f>
        <v/>
      </c>
      <c r="C702">
        <f>AKAR(JUMLAH(PANGKAT(Normalisasi!$J$43-Konvergensi!$B$649;2);PANGKAT(Normalisasi!$K$43-Konvergensi!$C$649;2);PANGKAT(Normalisasi!$L$43-Konvergensi!$D$649;2);PANGKAT(Normalisasi!$M$43-Konvergensi!$E$649;2);PANGKAT(Normalisasi!$N$43-Konvergensi!$F$649;2);PANGKAT(Normalisasi!$O$43-Konvergensi!$G$649;2);PANGKAT(Normalisasi!$P$43-Konvergensi!$H$649;2)))</f>
        <v/>
      </c>
      <c r="D702">
        <f>AKAR(JUMLAH(PANGKAT(Normalisasi!$J$43-Konvergensi!$B$650;2);PANGKAT(Normalisasi!$K$43-Konvergensi!$C$650;2);PANGKAT(Normalisasi!$L$43-Konvergensi!$D$650;2);PANGKAT(Normalisasi!$M$43-Konvergensi!$E$650;2);PANGKAT(Normalisasi!$N$43-Konvergensi!$F$650;2);PANGKAT(Normalisasi!$O$43-Konvergensi!$G$650;2);PANGKAT(Normalisasi!$P$43-Konvergensi!$H$650;2)))</f>
        <v/>
      </c>
      <c r="E702">
        <f>AKAR(JUMLAH(PANGKAT(Normalisasi!$J$43-Konvergensi!$B$651;2);PANGKAT(Normalisasi!$K$43-Konvergensi!$C$651;2);PANGKAT(Normalisasi!$L$43-Konvergensi!$D$651;2);PANGKAT(Normalisasi!$M$43-Konvergensi!$E$651;2);PANGKAT(Normalisasi!$N$43-Konvergensi!$F$651;2);PANGKAT(Normalisasi!$O$43-Konvergensi!$G$651;2);PANGKAT(Normalisasi!$P$43-Konvergensi!$H$651;2)))</f>
        <v/>
      </c>
      <c r="F702">
        <f>JIKA(C702&lt;=D702;=JIKA(C702&lt;=E702;0;2);=JIKA(D702&lt;=E702;1;2))</f>
        <v/>
      </c>
      <c r="G702">
        <f>JUMLAH(JIKA(F702=0;JUMLAH(PANGKAT(Normalisasi!$J$43-Konvergensi!$B$714;2);PANGKAT(Normalisasi!$K$43-Konvergensi!$C$714;2);PANGKAT(Normalisasi!$L$43-Konvergensi!$D$714;2);PANGKAT(Normalisasi!$M$43-Konvergensi!$E$714;2);PANGKAT(Normalisasi!$N$43-Konvergensi!$F$714;2);PANGKAT(Normalisasi!$O$43-Konvergensi!$G$714;2);PANGKAT(Normalisasi!$P$43-Konvergensi!$H$714;2));0);JIKA(F702=1;JUMLAH(PANGKAT(Normalisasi!$J$43-Konvergensi!$B$715;2);PANGKAT(Normalisasi!$K$43-Konvergensi!$C$715;2);PANGKAT(Normalisasi!$L$43-Konvergensi!$D$715;2);PANGKAT(Normalisasi!$M$43-Konvergensi!$E$715;2);PANGKAT(Normalisasi!$N$43-Konvergensi!$F$715;2);PANGKAT(Normalisasi!$O$43-Konvergensi!$G$715;2);PANGKAT(Normalisasi!$P$43-Konvergensi!$H$715;2));0);JIKA(F702=2;JUMLAH(PANGKAT(Normalisasi!$J$43-Konvergensi!$B$716;2);PANGKAT(Normalisasi!$K$43-Konvergensi!$C$716;2);PANGKAT(Normalisasi!$L$43-Konvergensi!$D$716;2);PANGKAT(Normalisasi!$M$43-Konvergensi!$E$716;2);PANGKAT(Normalisasi!$N$43-Konvergensi!$F$716;2);PANGKAT(Normalisasi!$O$43-Konvergensi!$G$716;2);PANGKAT(Normalisasi!$P$43-Konvergensi!$H$716;2));0))</f>
        <v/>
      </c>
      <c r="H702" t="n">
        <v>2</v>
      </c>
      <c r="I702" t="n">
        <v>6.848493226205151</v>
      </c>
    </row>
    <row r="703">
      <c r="A703">
        <f>Data_Awal!A44</f>
        <v/>
      </c>
      <c r="B703">
        <f>Data_Awal!B44</f>
        <v/>
      </c>
      <c r="C703">
        <f>AKAR(JUMLAH(PANGKAT(Normalisasi!$J$44-Konvergensi!$B$649;2);PANGKAT(Normalisasi!$K$44-Konvergensi!$C$649;2);PANGKAT(Normalisasi!$L$44-Konvergensi!$D$649;2);PANGKAT(Normalisasi!$M$44-Konvergensi!$E$649;2);PANGKAT(Normalisasi!$N$44-Konvergensi!$F$649;2);PANGKAT(Normalisasi!$O$44-Konvergensi!$G$649;2);PANGKAT(Normalisasi!$P$44-Konvergensi!$H$649;2)))</f>
        <v/>
      </c>
      <c r="D703">
        <f>AKAR(JUMLAH(PANGKAT(Normalisasi!$J$44-Konvergensi!$B$650;2);PANGKAT(Normalisasi!$K$44-Konvergensi!$C$650;2);PANGKAT(Normalisasi!$L$44-Konvergensi!$D$650;2);PANGKAT(Normalisasi!$M$44-Konvergensi!$E$650;2);PANGKAT(Normalisasi!$N$44-Konvergensi!$F$650;2);PANGKAT(Normalisasi!$O$44-Konvergensi!$G$650;2);PANGKAT(Normalisasi!$P$44-Konvergensi!$H$650;2)))</f>
        <v/>
      </c>
      <c r="E703">
        <f>AKAR(JUMLAH(PANGKAT(Normalisasi!$J$44-Konvergensi!$B$651;2);PANGKAT(Normalisasi!$K$44-Konvergensi!$C$651;2);PANGKAT(Normalisasi!$L$44-Konvergensi!$D$651;2);PANGKAT(Normalisasi!$M$44-Konvergensi!$E$651;2);PANGKAT(Normalisasi!$N$44-Konvergensi!$F$651;2);PANGKAT(Normalisasi!$O$44-Konvergensi!$G$651;2);PANGKAT(Normalisasi!$P$44-Konvergensi!$H$651;2)))</f>
        <v/>
      </c>
      <c r="F703">
        <f>JIKA(C703&lt;=D703;=JIKA(C703&lt;=E703;0;2);=JIKA(D703&lt;=E703;1;2))</f>
        <v/>
      </c>
      <c r="G703">
        <f>JUMLAH(JIKA(F703=0;JUMLAH(PANGKAT(Normalisasi!$J$44-Konvergensi!$B$714;2);PANGKAT(Normalisasi!$K$44-Konvergensi!$C$714;2);PANGKAT(Normalisasi!$L$44-Konvergensi!$D$714;2);PANGKAT(Normalisasi!$M$44-Konvergensi!$E$714;2);PANGKAT(Normalisasi!$N$44-Konvergensi!$F$714;2);PANGKAT(Normalisasi!$O$44-Konvergensi!$G$714;2);PANGKAT(Normalisasi!$P$44-Konvergensi!$H$714;2));0);JIKA(F703=1;JUMLAH(PANGKAT(Normalisasi!$J$44-Konvergensi!$B$715;2);PANGKAT(Normalisasi!$K$44-Konvergensi!$C$715;2);PANGKAT(Normalisasi!$L$44-Konvergensi!$D$715;2);PANGKAT(Normalisasi!$M$44-Konvergensi!$E$715;2);PANGKAT(Normalisasi!$N$44-Konvergensi!$F$715;2);PANGKAT(Normalisasi!$O$44-Konvergensi!$G$715;2);PANGKAT(Normalisasi!$P$44-Konvergensi!$H$715;2));0);JIKA(F703=2;JUMLAH(PANGKAT(Normalisasi!$J$44-Konvergensi!$B$716;2);PANGKAT(Normalisasi!$K$44-Konvergensi!$C$716;2);PANGKAT(Normalisasi!$L$44-Konvergensi!$D$716;2);PANGKAT(Normalisasi!$M$44-Konvergensi!$E$716;2);PANGKAT(Normalisasi!$N$44-Konvergensi!$F$716;2);PANGKAT(Normalisasi!$O$44-Konvergensi!$G$716;2);PANGKAT(Normalisasi!$P$44-Konvergensi!$H$716;2));0))</f>
        <v/>
      </c>
      <c r="H703" t="n">
        <v>2</v>
      </c>
      <c r="I703" t="n">
        <v>2.273099768392233</v>
      </c>
    </row>
    <row r="704">
      <c r="A704">
        <f>Data_Awal!A45</f>
        <v/>
      </c>
      <c r="B704">
        <f>Data_Awal!B45</f>
        <v/>
      </c>
      <c r="C704">
        <f>AKAR(JUMLAH(PANGKAT(Normalisasi!$J$45-Konvergensi!$B$649;2);PANGKAT(Normalisasi!$K$45-Konvergensi!$C$649;2);PANGKAT(Normalisasi!$L$45-Konvergensi!$D$649;2);PANGKAT(Normalisasi!$M$45-Konvergensi!$E$649;2);PANGKAT(Normalisasi!$N$45-Konvergensi!$F$649;2);PANGKAT(Normalisasi!$O$45-Konvergensi!$G$649;2);PANGKAT(Normalisasi!$P$45-Konvergensi!$H$649;2)))</f>
        <v/>
      </c>
      <c r="D704">
        <f>AKAR(JUMLAH(PANGKAT(Normalisasi!$J$45-Konvergensi!$B$650;2);PANGKAT(Normalisasi!$K$45-Konvergensi!$C$650;2);PANGKAT(Normalisasi!$L$45-Konvergensi!$D$650;2);PANGKAT(Normalisasi!$M$45-Konvergensi!$E$650;2);PANGKAT(Normalisasi!$N$45-Konvergensi!$F$650;2);PANGKAT(Normalisasi!$O$45-Konvergensi!$G$650;2);PANGKAT(Normalisasi!$P$45-Konvergensi!$H$650;2)))</f>
        <v/>
      </c>
      <c r="E704">
        <f>AKAR(JUMLAH(PANGKAT(Normalisasi!$J$45-Konvergensi!$B$651;2);PANGKAT(Normalisasi!$K$45-Konvergensi!$C$651;2);PANGKAT(Normalisasi!$L$45-Konvergensi!$D$651;2);PANGKAT(Normalisasi!$M$45-Konvergensi!$E$651;2);PANGKAT(Normalisasi!$N$45-Konvergensi!$F$651;2);PANGKAT(Normalisasi!$O$45-Konvergensi!$G$651;2);PANGKAT(Normalisasi!$P$45-Konvergensi!$H$651;2)))</f>
        <v/>
      </c>
      <c r="F704">
        <f>JIKA(C704&lt;=D704;=JIKA(C704&lt;=E704;0;2);=JIKA(D704&lt;=E704;1;2))</f>
        <v/>
      </c>
      <c r="G704">
        <f>JUMLAH(JIKA(F704=0;JUMLAH(PANGKAT(Normalisasi!$J$45-Konvergensi!$B$714;2);PANGKAT(Normalisasi!$K$45-Konvergensi!$C$714;2);PANGKAT(Normalisasi!$L$45-Konvergensi!$D$714;2);PANGKAT(Normalisasi!$M$45-Konvergensi!$E$714;2);PANGKAT(Normalisasi!$N$45-Konvergensi!$F$714;2);PANGKAT(Normalisasi!$O$45-Konvergensi!$G$714;2);PANGKAT(Normalisasi!$P$45-Konvergensi!$H$714;2));0);JIKA(F704=1;JUMLAH(PANGKAT(Normalisasi!$J$45-Konvergensi!$B$715;2);PANGKAT(Normalisasi!$K$45-Konvergensi!$C$715;2);PANGKAT(Normalisasi!$L$45-Konvergensi!$D$715;2);PANGKAT(Normalisasi!$M$45-Konvergensi!$E$715;2);PANGKAT(Normalisasi!$N$45-Konvergensi!$F$715;2);PANGKAT(Normalisasi!$O$45-Konvergensi!$G$715;2);PANGKAT(Normalisasi!$P$45-Konvergensi!$H$715;2));0);JIKA(F704=2;JUMLAH(PANGKAT(Normalisasi!$J$45-Konvergensi!$B$716;2);PANGKAT(Normalisasi!$K$45-Konvergensi!$C$716;2);PANGKAT(Normalisasi!$L$45-Konvergensi!$D$716;2);PANGKAT(Normalisasi!$M$45-Konvergensi!$E$716;2);PANGKAT(Normalisasi!$N$45-Konvergensi!$F$716;2);PANGKAT(Normalisasi!$O$45-Konvergensi!$G$716;2);PANGKAT(Normalisasi!$P$45-Konvergensi!$H$716;2));0))</f>
        <v/>
      </c>
      <c r="H704" t="n">
        <v>2</v>
      </c>
      <c r="I704" t="n">
        <v>5.944975380109906</v>
      </c>
    </row>
    <row r="705">
      <c r="A705">
        <f>Data_Awal!A46</f>
        <v/>
      </c>
      <c r="B705">
        <f>Data_Awal!B46</f>
        <v/>
      </c>
      <c r="C705">
        <f>AKAR(JUMLAH(PANGKAT(Normalisasi!$J$46-Konvergensi!$B$649;2);PANGKAT(Normalisasi!$K$46-Konvergensi!$C$649;2);PANGKAT(Normalisasi!$L$46-Konvergensi!$D$649;2);PANGKAT(Normalisasi!$M$46-Konvergensi!$E$649;2);PANGKAT(Normalisasi!$N$46-Konvergensi!$F$649;2);PANGKAT(Normalisasi!$O$46-Konvergensi!$G$649;2);PANGKAT(Normalisasi!$P$46-Konvergensi!$H$649;2)))</f>
        <v/>
      </c>
      <c r="D705">
        <f>AKAR(JUMLAH(PANGKAT(Normalisasi!$J$46-Konvergensi!$B$650;2);PANGKAT(Normalisasi!$K$46-Konvergensi!$C$650;2);PANGKAT(Normalisasi!$L$46-Konvergensi!$D$650;2);PANGKAT(Normalisasi!$M$46-Konvergensi!$E$650;2);PANGKAT(Normalisasi!$N$46-Konvergensi!$F$650;2);PANGKAT(Normalisasi!$O$46-Konvergensi!$G$650;2);PANGKAT(Normalisasi!$P$46-Konvergensi!$H$650;2)))</f>
        <v/>
      </c>
      <c r="E705">
        <f>AKAR(JUMLAH(PANGKAT(Normalisasi!$J$46-Konvergensi!$B$651;2);PANGKAT(Normalisasi!$K$46-Konvergensi!$C$651;2);PANGKAT(Normalisasi!$L$46-Konvergensi!$D$651;2);PANGKAT(Normalisasi!$M$46-Konvergensi!$E$651;2);PANGKAT(Normalisasi!$N$46-Konvergensi!$F$651;2);PANGKAT(Normalisasi!$O$46-Konvergensi!$G$651;2);PANGKAT(Normalisasi!$P$46-Konvergensi!$H$651;2)))</f>
        <v/>
      </c>
      <c r="F705">
        <f>JIKA(C705&lt;=D705;=JIKA(C705&lt;=E705;0;2);=JIKA(D705&lt;=E705;1;2))</f>
        <v/>
      </c>
      <c r="G705">
        <f>JUMLAH(JIKA(F705=0;JUMLAH(PANGKAT(Normalisasi!$J$46-Konvergensi!$B$714;2);PANGKAT(Normalisasi!$K$46-Konvergensi!$C$714;2);PANGKAT(Normalisasi!$L$46-Konvergensi!$D$714;2);PANGKAT(Normalisasi!$M$46-Konvergensi!$E$714;2);PANGKAT(Normalisasi!$N$46-Konvergensi!$F$714;2);PANGKAT(Normalisasi!$O$46-Konvergensi!$G$714;2);PANGKAT(Normalisasi!$P$46-Konvergensi!$H$714;2));0);JIKA(F705=1;JUMLAH(PANGKAT(Normalisasi!$J$46-Konvergensi!$B$715;2);PANGKAT(Normalisasi!$K$46-Konvergensi!$C$715;2);PANGKAT(Normalisasi!$L$46-Konvergensi!$D$715;2);PANGKAT(Normalisasi!$M$46-Konvergensi!$E$715;2);PANGKAT(Normalisasi!$N$46-Konvergensi!$F$715;2);PANGKAT(Normalisasi!$O$46-Konvergensi!$G$715;2);PANGKAT(Normalisasi!$P$46-Konvergensi!$H$715;2));0);JIKA(F705=2;JUMLAH(PANGKAT(Normalisasi!$J$46-Konvergensi!$B$716;2);PANGKAT(Normalisasi!$K$46-Konvergensi!$C$716;2);PANGKAT(Normalisasi!$L$46-Konvergensi!$D$716;2);PANGKAT(Normalisasi!$M$46-Konvergensi!$E$716;2);PANGKAT(Normalisasi!$N$46-Konvergensi!$F$716;2);PANGKAT(Normalisasi!$O$46-Konvergensi!$G$716;2);PANGKAT(Normalisasi!$P$46-Konvergensi!$H$716;2));0))</f>
        <v/>
      </c>
      <c r="H705" t="n">
        <v>2</v>
      </c>
      <c r="I705" t="n">
        <v>6.819946750019525</v>
      </c>
    </row>
    <row r="706">
      <c r="A706">
        <f>Data_Awal!A47</f>
        <v/>
      </c>
      <c r="B706">
        <f>Data_Awal!B47</f>
        <v/>
      </c>
      <c r="C706">
        <f>AKAR(JUMLAH(PANGKAT(Normalisasi!$J$47-Konvergensi!$B$649;2);PANGKAT(Normalisasi!$K$47-Konvergensi!$C$649;2);PANGKAT(Normalisasi!$L$47-Konvergensi!$D$649;2);PANGKAT(Normalisasi!$M$47-Konvergensi!$E$649;2);PANGKAT(Normalisasi!$N$47-Konvergensi!$F$649;2);PANGKAT(Normalisasi!$O$47-Konvergensi!$G$649;2);PANGKAT(Normalisasi!$P$47-Konvergensi!$H$649;2)))</f>
        <v/>
      </c>
      <c r="D706">
        <f>AKAR(JUMLAH(PANGKAT(Normalisasi!$J$47-Konvergensi!$B$650;2);PANGKAT(Normalisasi!$K$47-Konvergensi!$C$650;2);PANGKAT(Normalisasi!$L$47-Konvergensi!$D$650;2);PANGKAT(Normalisasi!$M$47-Konvergensi!$E$650;2);PANGKAT(Normalisasi!$N$47-Konvergensi!$F$650;2);PANGKAT(Normalisasi!$O$47-Konvergensi!$G$650;2);PANGKAT(Normalisasi!$P$47-Konvergensi!$H$650;2)))</f>
        <v/>
      </c>
      <c r="E706">
        <f>AKAR(JUMLAH(PANGKAT(Normalisasi!$J$47-Konvergensi!$B$651;2);PANGKAT(Normalisasi!$K$47-Konvergensi!$C$651;2);PANGKAT(Normalisasi!$L$47-Konvergensi!$D$651;2);PANGKAT(Normalisasi!$M$47-Konvergensi!$E$651;2);PANGKAT(Normalisasi!$N$47-Konvergensi!$F$651;2);PANGKAT(Normalisasi!$O$47-Konvergensi!$G$651;2);PANGKAT(Normalisasi!$P$47-Konvergensi!$H$651;2)))</f>
        <v/>
      </c>
      <c r="F706">
        <f>JIKA(C706&lt;=D706;=JIKA(C706&lt;=E706;0;2);=JIKA(D706&lt;=E706;1;2))</f>
        <v/>
      </c>
      <c r="G706">
        <f>JUMLAH(JIKA(F706=0;JUMLAH(PANGKAT(Normalisasi!$J$47-Konvergensi!$B$714;2);PANGKAT(Normalisasi!$K$47-Konvergensi!$C$714;2);PANGKAT(Normalisasi!$L$47-Konvergensi!$D$714;2);PANGKAT(Normalisasi!$M$47-Konvergensi!$E$714;2);PANGKAT(Normalisasi!$N$47-Konvergensi!$F$714;2);PANGKAT(Normalisasi!$O$47-Konvergensi!$G$714;2);PANGKAT(Normalisasi!$P$47-Konvergensi!$H$714;2));0);JIKA(F706=1;JUMLAH(PANGKAT(Normalisasi!$J$47-Konvergensi!$B$715;2);PANGKAT(Normalisasi!$K$47-Konvergensi!$C$715;2);PANGKAT(Normalisasi!$L$47-Konvergensi!$D$715;2);PANGKAT(Normalisasi!$M$47-Konvergensi!$E$715;2);PANGKAT(Normalisasi!$N$47-Konvergensi!$F$715;2);PANGKAT(Normalisasi!$O$47-Konvergensi!$G$715;2);PANGKAT(Normalisasi!$P$47-Konvergensi!$H$715;2));0);JIKA(F706=2;JUMLAH(PANGKAT(Normalisasi!$J$47-Konvergensi!$B$716;2);PANGKAT(Normalisasi!$K$47-Konvergensi!$C$716;2);PANGKAT(Normalisasi!$L$47-Konvergensi!$D$716;2);PANGKAT(Normalisasi!$M$47-Konvergensi!$E$716;2);PANGKAT(Normalisasi!$N$47-Konvergensi!$F$716;2);PANGKAT(Normalisasi!$O$47-Konvergensi!$G$716;2);PANGKAT(Normalisasi!$P$47-Konvergensi!$H$716;2));0))</f>
        <v/>
      </c>
      <c r="H706" t="n">
        <v>2</v>
      </c>
      <c r="I706" t="n">
        <v>4.034935711443805</v>
      </c>
    </row>
    <row r="707">
      <c r="A707">
        <f>Data_Awal!A48</f>
        <v/>
      </c>
      <c r="B707">
        <f>Data_Awal!B48</f>
        <v/>
      </c>
      <c r="C707">
        <f>AKAR(JUMLAH(PANGKAT(Normalisasi!$J$48-Konvergensi!$B$649;2);PANGKAT(Normalisasi!$K$48-Konvergensi!$C$649;2);PANGKAT(Normalisasi!$L$48-Konvergensi!$D$649;2);PANGKAT(Normalisasi!$M$48-Konvergensi!$E$649;2);PANGKAT(Normalisasi!$N$48-Konvergensi!$F$649;2);PANGKAT(Normalisasi!$O$48-Konvergensi!$G$649;2);PANGKAT(Normalisasi!$P$48-Konvergensi!$H$649;2)))</f>
        <v/>
      </c>
      <c r="D707">
        <f>AKAR(JUMLAH(PANGKAT(Normalisasi!$J$48-Konvergensi!$B$650;2);PANGKAT(Normalisasi!$K$48-Konvergensi!$C$650;2);PANGKAT(Normalisasi!$L$48-Konvergensi!$D$650;2);PANGKAT(Normalisasi!$M$48-Konvergensi!$E$650;2);PANGKAT(Normalisasi!$N$48-Konvergensi!$F$650;2);PANGKAT(Normalisasi!$O$48-Konvergensi!$G$650;2);PANGKAT(Normalisasi!$P$48-Konvergensi!$H$650;2)))</f>
        <v/>
      </c>
      <c r="E707">
        <f>AKAR(JUMLAH(PANGKAT(Normalisasi!$J$48-Konvergensi!$B$651;2);PANGKAT(Normalisasi!$K$48-Konvergensi!$C$651;2);PANGKAT(Normalisasi!$L$48-Konvergensi!$D$651;2);PANGKAT(Normalisasi!$M$48-Konvergensi!$E$651;2);PANGKAT(Normalisasi!$N$48-Konvergensi!$F$651;2);PANGKAT(Normalisasi!$O$48-Konvergensi!$G$651;2);PANGKAT(Normalisasi!$P$48-Konvergensi!$H$651;2)))</f>
        <v/>
      </c>
      <c r="F707">
        <f>JIKA(C707&lt;=D707;=JIKA(C707&lt;=E707;0;2);=JIKA(D707&lt;=E707;1;2))</f>
        <v/>
      </c>
      <c r="G707">
        <f>JUMLAH(JIKA(F707=0;JUMLAH(PANGKAT(Normalisasi!$J$48-Konvergensi!$B$714;2);PANGKAT(Normalisasi!$K$48-Konvergensi!$C$714;2);PANGKAT(Normalisasi!$L$48-Konvergensi!$D$714;2);PANGKAT(Normalisasi!$M$48-Konvergensi!$E$714;2);PANGKAT(Normalisasi!$N$48-Konvergensi!$F$714;2);PANGKAT(Normalisasi!$O$48-Konvergensi!$G$714;2);PANGKAT(Normalisasi!$P$48-Konvergensi!$H$714;2));0);JIKA(F707=1;JUMLAH(PANGKAT(Normalisasi!$J$48-Konvergensi!$B$715;2);PANGKAT(Normalisasi!$K$48-Konvergensi!$C$715;2);PANGKAT(Normalisasi!$L$48-Konvergensi!$D$715;2);PANGKAT(Normalisasi!$M$48-Konvergensi!$E$715;2);PANGKAT(Normalisasi!$N$48-Konvergensi!$F$715;2);PANGKAT(Normalisasi!$O$48-Konvergensi!$G$715;2);PANGKAT(Normalisasi!$P$48-Konvergensi!$H$715;2));0);JIKA(F707=2;JUMLAH(PANGKAT(Normalisasi!$J$48-Konvergensi!$B$716;2);PANGKAT(Normalisasi!$K$48-Konvergensi!$C$716;2);PANGKAT(Normalisasi!$L$48-Konvergensi!$D$716;2);PANGKAT(Normalisasi!$M$48-Konvergensi!$E$716;2);PANGKAT(Normalisasi!$N$48-Konvergensi!$F$716;2);PANGKAT(Normalisasi!$O$48-Konvergensi!$G$716;2);PANGKAT(Normalisasi!$P$48-Konvergensi!$H$716;2));0))</f>
        <v/>
      </c>
      <c r="H707" t="n">
        <v>1</v>
      </c>
      <c r="I707" t="n">
        <v>2.515310562387401</v>
      </c>
    </row>
    <row r="708">
      <c r="A708">
        <f>Data_Awal!A49</f>
        <v/>
      </c>
      <c r="B708">
        <f>Data_Awal!B49</f>
        <v/>
      </c>
      <c r="C708">
        <f>AKAR(JUMLAH(PANGKAT(Normalisasi!$J$49-Konvergensi!$B$649;2);PANGKAT(Normalisasi!$K$49-Konvergensi!$C$649;2);PANGKAT(Normalisasi!$L$49-Konvergensi!$D$649;2);PANGKAT(Normalisasi!$M$49-Konvergensi!$E$649;2);PANGKAT(Normalisasi!$N$49-Konvergensi!$F$649;2);PANGKAT(Normalisasi!$O$49-Konvergensi!$G$649;2);PANGKAT(Normalisasi!$P$49-Konvergensi!$H$649;2)))</f>
        <v/>
      </c>
      <c r="D708">
        <f>AKAR(JUMLAH(PANGKAT(Normalisasi!$J$49-Konvergensi!$B$650;2);PANGKAT(Normalisasi!$K$49-Konvergensi!$C$650;2);PANGKAT(Normalisasi!$L$49-Konvergensi!$D$650;2);PANGKAT(Normalisasi!$M$49-Konvergensi!$E$650;2);PANGKAT(Normalisasi!$N$49-Konvergensi!$F$650;2);PANGKAT(Normalisasi!$O$49-Konvergensi!$G$650;2);PANGKAT(Normalisasi!$P$49-Konvergensi!$H$650;2)))</f>
        <v/>
      </c>
      <c r="E708">
        <f>AKAR(JUMLAH(PANGKAT(Normalisasi!$J$49-Konvergensi!$B$651;2);PANGKAT(Normalisasi!$K$49-Konvergensi!$C$651;2);PANGKAT(Normalisasi!$L$49-Konvergensi!$D$651;2);PANGKAT(Normalisasi!$M$49-Konvergensi!$E$651;2);PANGKAT(Normalisasi!$N$49-Konvergensi!$F$651;2);PANGKAT(Normalisasi!$O$49-Konvergensi!$G$651;2);PANGKAT(Normalisasi!$P$49-Konvergensi!$H$651;2)))</f>
        <v/>
      </c>
      <c r="F708">
        <f>JIKA(C708&lt;=D708;=JIKA(C708&lt;=E708;0;2);=JIKA(D708&lt;=E708;1;2))</f>
        <v/>
      </c>
      <c r="G708">
        <f>JUMLAH(JIKA(F708=0;JUMLAH(PANGKAT(Normalisasi!$J$49-Konvergensi!$B$714;2);PANGKAT(Normalisasi!$K$49-Konvergensi!$C$714;2);PANGKAT(Normalisasi!$L$49-Konvergensi!$D$714;2);PANGKAT(Normalisasi!$M$49-Konvergensi!$E$714;2);PANGKAT(Normalisasi!$N$49-Konvergensi!$F$714;2);PANGKAT(Normalisasi!$O$49-Konvergensi!$G$714;2);PANGKAT(Normalisasi!$P$49-Konvergensi!$H$714;2));0);JIKA(F708=1;JUMLAH(PANGKAT(Normalisasi!$J$49-Konvergensi!$B$715;2);PANGKAT(Normalisasi!$K$49-Konvergensi!$C$715;2);PANGKAT(Normalisasi!$L$49-Konvergensi!$D$715;2);PANGKAT(Normalisasi!$M$49-Konvergensi!$E$715;2);PANGKAT(Normalisasi!$N$49-Konvergensi!$F$715;2);PANGKAT(Normalisasi!$O$49-Konvergensi!$G$715;2);PANGKAT(Normalisasi!$P$49-Konvergensi!$H$715;2));0);JIKA(F708=2;JUMLAH(PANGKAT(Normalisasi!$J$49-Konvergensi!$B$716;2);PANGKAT(Normalisasi!$K$49-Konvergensi!$C$716;2);PANGKAT(Normalisasi!$L$49-Konvergensi!$D$716;2);PANGKAT(Normalisasi!$M$49-Konvergensi!$E$716;2);PANGKAT(Normalisasi!$N$49-Konvergensi!$F$716;2);PANGKAT(Normalisasi!$O$49-Konvergensi!$G$716;2);PANGKAT(Normalisasi!$P$49-Konvergensi!$H$716;2));0))</f>
        <v/>
      </c>
      <c r="H708" t="n">
        <v>0</v>
      </c>
      <c r="I708" t="n">
        <v>2.347285791798794</v>
      </c>
    </row>
    <row r="709">
      <c r="A709">
        <f>Data_Awal!A50</f>
        <v/>
      </c>
      <c r="B709">
        <f>Data_Awal!B50</f>
        <v/>
      </c>
      <c r="C709">
        <f>AKAR(JUMLAH(PANGKAT(Normalisasi!$J$50-Konvergensi!$B$649;2);PANGKAT(Normalisasi!$K$50-Konvergensi!$C$649;2);PANGKAT(Normalisasi!$L$50-Konvergensi!$D$649;2);PANGKAT(Normalisasi!$M$50-Konvergensi!$E$649;2);PANGKAT(Normalisasi!$N$50-Konvergensi!$F$649;2);PANGKAT(Normalisasi!$O$50-Konvergensi!$G$649;2);PANGKAT(Normalisasi!$P$50-Konvergensi!$H$649;2)))</f>
        <v/>
      </c>
      <c r="D709">
        <f>AKAR(JUMLAH(PANGKAT(Normalisasi!$J$50-Konvergensi!$B$650;2);PANGKAT(Normalisasi!$K$50-Konvergensi!$C$650;2);PANGKAT(Normalisasi!$L$50-Konvergensi!$D$650;2);PANGKAT(Normalisasi!$M$50-Konvergensi!$E$650;2);PANGKAT(Normalisasi!$N$50-Konvergensi!$F$650;2);PANGKAT(Normalisasi!$O$50-Konvergensi!$G$650;2);PANGKAT(Normalisasi!$P$50-Konvergensi!$H$650;2)))</f>
        <v/>
      </c>
      <c r="E709">
        <f>AKAR(JUMLAH(PANGKAT(Normalisasi!$J$50-Konvergensi!$B$651;2);PANGKAT(Normalisasi!$K$50-Konvergensi!$C$651;2);PANGKAT(Normalisasi!$L$50-Konvergensi!$D$651;2);PANGKAT(Normalisasi!$M$50-Konvergensi!$E$651;2);PANGKAT(Normalisasi!$N$50-Konvergensi!$F$651;2);PANGKAT(Normalisasi!$O$50-Konvergensi!$G$651;2);PANGKAT(Normalisasi!$P$50-Konvergensi!$H$651;2)))</f>
        <v/>
      </c>
      <c r="F709">
        <f>JIKA(C709&lt;=D709;=JIKA(C709&lt;=E709;0;2);=JIKA(D709&lt;=E709;1;2))</f>
        <v/>
      </c>
      <c r="G709">
        <f>JUMLAH(JIKA(F709=0;JUMLAH(PANGKAT(Normalisasi!$J$50-Konvergensi!$B$714;2);PANGKAT(Normalisasi!$K$50-Konvergensi!$C$714;2);PANGKAT(Normalisasi!$L$50-Konvergensi!$D$714;2);PANGKAT(Normalisasi!$M$50-Konvergensi!$E$714;2);PANGKAT(Normalisasi!$N$50-Konvergensi!$F$714;2);PANGKAT(Normalisasi!$O$50-Konvergensi!$G$714;2);PANGKAT(Normalisasi!$P$50-Konvergensi!$H$714;2));0);JIKA(F709=1;JUMLAH(PANGKAT(Normalisasi!$J$50-Konvergensi!$B$715;2);PANGKAT(Normalisasi!$K$50-Konvergensi!$C$715;2);PANGKAT(Normalisasi!$L$50-Konvergensi!$D$715;2);PANGKAT(Normalisasi!$M$50-Konvergensi!$E$715;2);PANGKAT(Normalisasi!$N$50-Konvergensi!$F$715;2);PANGKAT(Normalisasi!$O$50-Konvergensi!$G$715;2);PANGKAT(Normalisasi!$P$50-Konvergensi!$H$715;2));0);JIKA(F709=2;JUMLAH(PANGKAT(Normalisasi!$J$50-Konvergensi!$B$716;2);PANGKAT(Normalisasi!$K$50-Konvergensi!$C$716;2);PANGKAT(Normalisasi!$L$50-Konvergensi!$D$716;2);PANGKAT(Normalisasi!$M$50-Konvergensi!$E$716;2);PANGKAT(Normalisasi!$N$50-Konvergensi!$F$716;2);PANGKAT(Normalisasi!$O$50-Konvergensi!$G$716;2);PANGKAT(Normalisasi!$P$50-Konvergensi!$H$716;2));0))</f>
        <v/>
      </c>
      <c r="H709" t="n">
        <v>0</v>
      </c>
      <c r="I709" t="n">
        <v>3.49332675127443</v>
      </c>
    </row>
    <row r="710">
      <c r="A710">
        <f>Data_Awal!A51</f>
        <v/>
      </c>
      <c r="B710">
        <f>Data_Awal!B51</f>
        <v/>
      </c>
      <c r="C710">
        <f>AKAR(JUMLAH(PANGKAT(Normalisasi!$J$51-Konvergensi!$B$649;2);PANGKAT(Normalisasi!$K$51-Konvergensi!$C$649;2);PANGKAT(Normalisasi!$L$51-Konvergensi!$D$649;2);PANGKAT(Normalisasi!$M$51-Konvergensi!$E$649;2);PANGKAT(Normalisasi!$N$51-Konvergensi!$F$649;2);PANGKAT(Normalisasi!$O$51-Konvergensi!$G$649;2);PANGKAT(Normalisasi!$P$51-Konvergensi!$H$649;2)))</f>
        <v/>
      </c>
      <c r="D710">
        <f>AKAR(JUMLAH(PANGKAT(Normalisasi!$J$51-Konvergensi!$B$650;2);PANGKAT(Normalisasi!$K$51-Konvergensi!$C$650;2);PANGKAT(Normalisasi!$L$51-Konvergensi!$D$650;2);PANGKAT(Normalisasi!$M$51-Konvergensi!$E$650;2);PANGKAT(Normalisasi!$N$51-Konvergensi!$F$650;2);PANGKAT(Normalisasi!$O$51-Konvergensi!$G$650;2);PANGKAT(Normalisasi!$P$51-Konvergensi!$H$650;2)))</f>
        <v/>
      </c>
      <c r="E710">
        <f>AKAR(JUMLAH(PANGKAT(Normalisasi!$J$51-Konvergensi!$B$651;2);PANGKAT(Normalisasi!$K$51-Konvergensi!$C$651;2);PANGKAT(Normalisasi!$L$51-Konvergensi!$D$651;2);PANGKAT(Normalisasi!$M$51-Konvergensi!$E$651;2);PANGKAT(Normalisasi!$N$51-Konvergensi!$F$651;2);PANGKAT(Normalisasi!$O$51-Konvergensi!$G$651;2);PANGKAT(Normalisasi!$P$51-Konvergensi!$H$651;2)))</f>
        <v/>
      </c>
      <c r="F710">
        <f>JIKA(C710&lt;=D710;=JIKA(C710&lt;=E710;0;2);=JIKA(D710&lt;=E710;1;2))</f>
        <v/>
      </c>
      <c r="G710">
        <f>JUMLAH(JIKA(F710=0;JUMLAH(PANGKAT(Normalisasi!$J$51-Konvergensi!$B$714;2);PANGKAT(Normalisasi!$K$51-Konvergensi!$C$714;2);PANGKAT(Normalisasi!$L$51-Konvergensi!$D$714;2);PANGKAT(Normalisasi!$M$51-Konvergensi!$E$714;2);PANGKAT(Normalisasi!$N$51-Konvergensi!$F$714;2);PANGKAT(Normalisasi!$O$51-Konvergensi!$G$714;2);PANGKAT(Normalisasi!$P$51-Konvergensi!$H$714;2));0);JIKA(F710=1;JUMLAH(PANGKAT(Normalisasi!$J$51-Konvergensi!$B$715;2);PANGKAT(Normalisasi!$K$51-Konvergensi!$C$715;2);PANGKAT(Normalisasi!$L$51-Konvergensi!$D$715;2);PANGKAT(Normalisasi!$M$51-Konvergensi!$E$715;2);PANGKAT(Normalisasi!$N$51-Konvergensi!$F$715;2);PANGKAT(Normalisasi!$O$51-Konvergensi!$G$715;2);PANGKAT(Normalisasi!$P$51-Konvergensi!$H$715;2));0);JIKA(F710=2;JUMLAH(PANGKAT(Normalisasi!$J$51-Konvergensi!$B$716;2);PANGKAT(Normalisasi!$K$51-Konvergensi!$C$716;2);PANGKAT(Normalisasi!$L$51-Konvergensi!$D$716;2);PANGKAT(Normalisasi!$M$51-Konvergensi!$E$716;2);PANGKAT(Normalisasi!$N$51-Konvergensi!$F$716;2);PANGKAT(Normalisasi!$O$51-Konvergensi!$G$716;2);PANGKAT(Normalisasi!$P$51-Konvergensi!$H$716;2));0))</f>
        <v/>
      </c>
      <c r="H710" t="n">
        <v>2</v>
      </c>
      <c r="I710" t="n">
        <v>2.311118252290219</v>
      </c>
    </row>
    <row r="712">
      <c r="A712" s="4" t="inlineStr">
        <is>
          <t>Centroid baru setelah iter 11</t>
        </is>
      </c>
    </row>
    <row r="713">
      <c r="A713" t="inlineStr">
        <is>
          <t>Cluster</t>
        </is>
      </c>
      <c r="B713" s="1" t="inlineStr">
        <is>
          <t>Z Latitude</t>
        </is>
      </c>
      <c r="C713" s="1" t="inlineStr">
        <is>
          <t>Z Longitude</t>
        </is>
      </c>
      <c r="D713" s="1" t="inlineStr">
        <is>
          <t>Z Semantic Score</t>
        </is>
      </c>
      <c r="E713" s="1" t="inlineStr">
        <is>
          <t>Z Jarak Hotel (m)</t>
        </is>
      </c>
      <c r="F713" s="1" t="inlineStr">
        <is>
          <t>Z Jarak Halte (m)</t>
        </is>
      </c>
      <c r="G713" s="1" t="inlineStr">
        <is>
          <t>Z Restoran 500m</t>
        </is>
      </c>
      <c r="H713" s="1" t="inlineStr">
        <is>
          <t>Z Minimarket 500m</t>
        </is>
      </c>
    </row>
    <row r="714">
      <c r="A714" t="inlineStr">
        <is>
          <t>C0</t>
        </is>
      </c>
      <c r="B714">
        <f>RATA.RATA.JIKA($F$661:$F$710;0;Normalisasi!$J$2:$J$51)</f>
        <v/>
      </c>
      <c r="C714">
        <f>RATA.RATA.JIKA($F$661:$F$710;0;Normalisasi!$K$2:$K$51)</f>
        <v/>
      </c>
      <c r="D714">
        <f>RATA.RATA.JIKA($F$661:$F$710;0;Normalisasi!$L$2:$L$51)</f>
        <v/>
      </c>
      <c r="E714">
        <f>RATA.RATA.JIKA($F$661:$F$710;0;Normalisasi!$M$2:$M$51)</f>
        <v/>
      </c>
      <c r="F714">
        <f>RATA.RATA.JIKA($F$661:$F$710;0;Normalisasi!$N$2:$N$51)</f>
        <v/>
      </c>
      <c r="G714">
        <f>RATA.RATA.JIKA($F$661:$F$710;0;Normalisasi!$O$2:$O$51)</f>
        <v/>
      </c>
      <c r="H714">
        <f>RATA.RATA.JIKA($F$661:$F$710;0;Normalisasi!$P$2:$P$51)</f>
        <v/>
      </c>
      <c r="J714" t="n">
        <v>-0.4613542886197161</v>
      </c>
      <c r="K714" t="n">
        <v>-0.0987820946262668</v>
      </c>
      <c r="L714" t="n">
        <v>-0.5993955585274795</v>
      </c>
      <c r="M714" t="n">
        <v>-0.3961634697453808</v>
      </c>
      <c r="N714" t="n">
        <v>-0.6911352334187006</v>
      </c>
      <c r="O714" t="n">
        <v>-0.8172043279420724</v>
      </c>
      <c r="P714" t="n">
        <v>-0.05876487892960753</v>
      </c>
    </row>
    <row r="715">
      <c r="A715" t="inlineStr">
        <is>
          <t>C1</t>
        </is>
      </c>
      <c r="B715">
        <f>RATA.RATA.JIKA($F$661:$F$710;1;Normalisasi!$J$2:$J$51)</f>
        <v/>
      </c>
      <c r="C715">
        <f>RATA.RATA.JIKA($F$661:$F$710;1;Normalisasi!$K$2:$K$51)</f>
        <v/>
      </c>
      <c r="D715">
        <f>RATA.RATA.JIKA($F$661:$F$710;1;Normalisasi!$L$2:$L$51)</f>
        <v/>
      </c>
      <c r="E715">
        <f>RATA.RATA.JIKA($F$661:$F$710;1;Normalisasi!$M$2:$M$51)</f>
        <v/>
      </c>
      <c r="F715">
        <f>RATA.RATA.JIKA($F$661:$F$710;1;Normalisasi!$N$2:$N$51)</f>
        <v/>
      </c>
      <c r="G715">
        <f>RATA.RATA.JIKA($F$661:$F$710;1;Normalisasi!$O$2:$O$51)</f>
        <v/>
      </c>
      <c r="H715">
        <f>RATA.RATA.JIKA($F$661:$F$710;1;Normalisasi!$P$2:$P$51)</f>
        <v/>
      </c>
      <c r="J715" t="n">
        <v>-0.1657279022145444</v>
      </c>
      <c r="K715" t="n">
        <v>0.1758635709175079</v>
      </c>
      <c r="L715" t="n">
        <v>0.2854088392484354</v>
      </c>
      <c r="M715" t="n">
        <v>0.5638900772964751</v>
      </c>
      <c r="N715" t="n">
        <v>1.046607242724782</v>
      </c>
      <c r="O715" t="n">
        <v>0.2611416055903919</v>
      </c>
      <c r="P715" t="n">
        <v>-0.8598521435832207</v>
      </c>
    </row>
    <row r="716">
      <c r="A716" t="inlineStr">
        <is>
          <t>C2</t>
        </is>
      </c>
      <c r="B716">
        <f>RATA.RATA.JIKA($F$661:$F$710;2;Normalisasi!$J$2:$J$51)</f>
        <v/>
      </c>
      <c r="C716">
        <f>RATA.RATA.JIKA($F$661:$F$710;2;Normalisasi!$K$2:$K$51)</f>
        <v/>
      </c>
      <c r="D716">
        <f>RATA.RATA.JIKA($F$661:$F$710;2;Normalisasi!$L$2:$L$51)</f>
        <v/>
      </c>
      <c r="E716">
        <f>RATA.RATA.JIKA($F$661:$F$710;2;Normalisasi!$M$2:$M$51)</f>
        <v/>
      </c>
      <c r="F716">
        <f>RATA.RATA.JIKA($F$661:$F$710;2;Normalisasi!$N$2:$N$51)</f>
        <v/>
      </c>
      <c r="G716">
        <f>RATA.RATA.JIKA($F$661:$F$710;2;Normalisasi!$O$2:$O$51)</f>
        <v/>
      </c>
      <c r="H716">
        <f>RATA.RATA.JIKA($F$661:$F$710;2;Normalisasi!$P$2:$P$51)</f>
        <v/>
      </c>
      <c r="J716" t="n">
        <v>0.6347232781396207</v>
      </c>
      <c r="K716" t="n">
        <v>-0.05058093296967998</v>
      </c>
      <c r="L716" t="n">
        <v>0.3828227920451803</v>
      </c>
      <c r="M716" t="n">
        <v>-0.07808286494295746</v>
      </c>
      <c r="N716" t="n">
        <v>-0.1916867317255962</v>
      </c>
      <c r="O716" t="n">
        <v>0.6348561070059661</v>
      </c>
      <c r="P716" t="n">
        <v>0.82091470438125</v>
      </c>
    </row>
    <row r="718">
      <c r="A718" t="inlineStr">
        <is>
          <t>Total WCSS (Excel)</t>
        </is>
      </c>
      <c r="B718">
        <f>JUMLAH($G$661:$G$710)</f>
        <v/>
      </c>
    </row>
    <row r="719">
      <c r="A719" t="inlineStr">
        <is>
          <t>Total WCSS (Python)</t>
        </is>
      </c>
      <c r="B719" t="n">
        <v>252.188785316548</v>
      </c>
    </row>
    <row r="720">
      <c r="A720" t="inlineStr">
        <is>
          <t>Selisih WCSS</t>
        </is>
      </c>
      <c r="B720">
        <f>ABS(B718-B719)</f>
        <v/>
      </c>
    </row>
    <row r="721">
      <c r="A721" t="inlineStr">
        <is>
          <t>Label berubah?</t>
        </is>
      </c>
      <c r="B721">
        <f>JIKA(JUMLAH(JIKA($F$661:$F$710&lt;&gt;$F$661:$F$710;1;0))=0;"Tidak";"Ya")</f>
        <v/>
      </c>
    </row>
    <row r="722">
      <c r="A722" t="inlineStr">
        <is>
          <t>Max shift centroid</t>
        </is>
      </c>
      <c r="B7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Hasil Akhir Intelligent K-Means</t>
        </is>
      </c>
    </row>
    <row r="2">
      <c r="A2" s="1" t="inlineStr">
        <is>
          <t>Centroid Final (Z-Score)</t>
        </is>
      </c>
      <c r="B2" s="1" t="inlineStr">
        <is>
          <t>Latitude</t>
        </is>
      </c>
      <c r="C2" s="1" t="inlineStr">
        <is>
          <t>Longitude</t>
        </is>
      </c>
      <c r="D2" s="1" t="inlineStr">
        <is>
          <t>Semantic Score</t>
        </is>
      </c>
      <c r="E2" s="1" t="inlineStr">
        <is>
          <t>Jarak Hotel (m)</t>
        </is>
      </c>
      <c r="F2" s="1" t="inlineStr">
        <is>
          <t>Jarak Halte (m)</t>
        </is>
      </c>
      <c r="G2" s="1" t="inlineStr">
        <is>
          <t>Restoran 500m</t>
        </is>
      </c>
      <c r="H2" s="1" t="inlineStr">
        <is>
          <t>Minimarket 500m</t>
        </is>
      </c>
      <c r="I2" s="1" t="inlineStr">
        <is>
          <t>Jumlah POI</t>
        </is>
      </c>
    </row>
    <row r="3">
      <c r="A3" t="inlineStr">
        <is>
          <t>Cluster 0</t>
        </is>
      </c>
      <c r="B3" t="n">
        <v>-0.4613542886197161</v>
      </c>
      <c r="C3" t="n">
        <v>-0.0987820946262668</v>
      </c>
      <c r="D3" t="n">
        <v>-0.5993955585274795</v>
      </c>
      <c r="E3" t="n">
        <v>-0.3961634697453808</v>
      </c>
      <c r="F3" t="n">
        <v>-0.6911352334187006</v>
      </c>
      <c r="G3" t="n">
        <v>-0.8172043279420724</v>
      </c>
      <c r="H3" t="n">
        <v>-0.05876487892960753</v>
      </c>
      <c r="I3" t="n">
        <v>18</v>
      </c>
    </row>
    <row r="4">
      <c r="A4" t="inlineStr">
        <is>
          <t>Cluster 1</t>
        </is>
      </c>
      <c r="B4" t="n">
        <v>-0.1657279022145444</v>
      </c>
      <c r="C4" t="n">
        <v>0.1758635709175079</v>
      </c>
      <c r="D4" t="n">
        <v>0.2854088392484354</v>
      </c>
      <c r="E4" t="n">
        <v>0.5638900772964751</v>
      </c>
      <c r="F4" t="n">
        <v>1.046607242724782</v>
      </c>
      <c r="G4" t="n">
        <v>0.2611416055903919</v>
      </c>
      <c r="H4" t="n">
        <v>-0.8598521435832207</v>
      </c>
      <c r="I4" t="n">
        <v>15</v>
      </c>
    </row>
    <row r="5">
      <c r="A5" t="inlineStr">
        <is>
          <t>Cluster 2</t>
        </is>
      </c>
      <c r="B5" t="n">
        <v>0.6347232781396207</v>
      </c>
      <c r="C5" t="n">
        <v>-0.05058093296967998</v>
      </c>
      <c r="D5" t="n">
        <v>0.3828227920451803</v>
      </c>
      <c r="E5" t="n">
        <v>-0.07808286494295746</v>
      </c>
      <c r="F5" t="n">
        <v>-0.1916867317255962</v>
      </c>
      <c r="G5" t="n">
        <v>0.6348561070059661</v>
      </c>
      <c r="H5" t="n">
        <v>0.82091470438125</v>
      </c>
      <c r="I5" t="n">
        <v>17</v>
      </c>
    </row>
    <row r="8">
      <c r="A8" s="4" t="inlineStr">
        <is>
          <t>Label POI Final</t>
        </is>
      </c>
    </row>
    <row r="9">
      <c r="A9" s="1" t="inlineStr">
        <is>
          <t>POI ID</t>
        </is>
      </c>
      <c r="B9" s="1" t="inlineStr">
        <is>
          <t>Nama</t>
        </is>
      </c>
      <c r="C9" s="1" t="inlineStr">
        <is>
          <t>Cluster</t>
        </is>
      </c>
      <c r="D9" s="1" t="inlineStr">
        <is>
          <t>Z Latitude</t>
        </is>
      </c>
      <c r="E9" s="1" t="inlineStr">
        <is>
          <t>Z Longitude</t>
        </is>
      </c>
      <c r="F9" s="1" t="inlineStr">
        <is>
          <t>Z Semantic Score</t>
        </is>
      </c>
      <c r="G9" s="1" t="inlineStr">
        <is>
          <t>Z Jarak Hotel (m)</t>
        </is>
      </c>
      <c r="H9" s="1" t="inlineStr">
        <is>
          <t>Z Jarak Halte (m)</t>
        </is>
      </c>
      <c r="I9" s="1" t="inlineStr">
        <is>
          <t>Z Restoran 500m</t>
        </is>
      </c>
      <c r="J9" s="1" t="inlineStr">
        <is>
          <t>Z Minimarket 500m</t>
        </is>
      </c>
    </row>
    <row r="10">
      <c r="A10">
        <f>Data_Awal!A2</f>
        <v/>
      </c>
      <c r="B10">
        <f>Data_Awal!B2</f>
        <v/>
      </c>
      <c r="C10" t="n">
        <v>2</v>
      </c>
      <c r="D10">
        <f>Normalisasi!J2</f>
        <v/>
      </c>
      <c r="E10">
        <f>Normalisasi!K2</f>
        <v/>
      </c>
      <c r="F10">
        <f>Normalisasi!L2</f>
        <v/>
      </c>
      <c r="G10">
        <f>Normalisasi!M2</f>
        <v/>
      </c>
      <c r="H10">
        <f>Normalisasi!N2</f>
        <v/>
      </c>
      <c r="I10">
        <f>Normalisasi!O2</f>
        <v/>
      </c>
      <c r="J10">
        <f>Normalisasi!P2</f>
        <v/>
      </c>
    </row>
    <row r="11">
      <c r="A11">
        <f>Data_Awal!A3</f>
        <v/>
      </c>
      <c r="B11">
        <f>Data_Awal!B3</f>
        <v/>
      </c>
      <c r="C11" t="n">
        <v>1</v>
      </c>
      <c r="D11">
        <f>Normalisasi!J3</f>
        <v/>
      </c>
      <c r="E11">
        <f>Normalisasi!K3</f>
        <v/>
      </c>
      <c r="F11">
        <f>Normalisasi!L3</f>
        <v/>
      </c>
      <c r="G11">
        <f>Normalisasi!M3</f>
        <v/>
      </c>
      <c r="H11">
        <f>Normalisasi!N3</f>
        <v/>
      </c>
      <c r="I11">
        <f>Normalisasi!O3</f>
        <v/>
      </c>
      <c r="J11">
        <f>Normalisasi!P3</f>
        <v/>
      </c>
    </row>
    <row r="12">
      <c r="A12">
        <f>Data_Awal!A4</f>
        <v/>
      </c>
      <c r="B12">
        <f>Data_Awal!B4</f>
        <v/>
      </c>
      <c r="C12" t="n">
        <v>1</v>
      </c>
      <c r="D12">
        <f>Normalisasi!J4</f>
        <v/>
      </c>
      <c r="E12">
        <f>Normalisasi!K4</f>
        <v/>
      </c>
      <c r="F12">
        <f>Normalisasi!L4</f>
        <v/>
      </c>
      <c r="G12">
        <f>Normalisasi!M4</f>
        <v/>
      </c>
      <c r="H12">
        <f>Normalisasi!N4</f>
        <v/>
      </c>
      <c r="I12">
        <f>Normalisasi!O4</f>
        <v/>
      </c>
      <c r="J12">
        <f>Normalisasi!P4</f>
        <v/>
      </c>
    </row>
    <row r="13">
      <c r="A13">
        <f>Data_Awal!A5</f>
        <v/>
      </c>
      <c r="B13">
        <f>Data_Awal!B5</f>
        <v/>
      </c>
      <c r="C13" t="n">
        <v>0</v>
      </c>
      <c r="D13">
        <f>Normalisasi!J5</f>
        <v/>
      </c>
      <c r="E13">
        <f>Normalisasi!K5</f>
        <v/>
      </c>
      <c r="F13">
        <f>Normalisasi!L5</f>
        <v/>
      </c>
      <c r="G13">
        <f>Normalisasi!M5</f>
        <v/>
      </c>
      <c r="H13">
        <f>Normalisasi!N5</f>
        <v/>
      </c>
      <c r="I13">
        <f>Normalisasi!O5</f>
        <v/>
      </c>
      <c r="J13">
        <f>Normalisasi!P5</f>
        <v/>
      </c>
    </row>
    <row r="14">
      <c r="A14">
        <f>Data_Awal!A6</f>
        <v/>
      </c>
      <c r="B14">
        <f>Data_Awal!B6</f>
        <v/>
      </c>
      <c r="C14" t="n">
        <v>0</v>
      </c>
      <c r="D14">
        <f>Normalisasi!J6</f>
        <v/>
      </c>
      <c r="E14">
        <f>Normalisasi!K6</f>
        <v/>
      </c>
      <c r="F14">
        <f>Normalisasi!L6</f>
        <v/>
      </c>
      <c r="G14">
        <f>Normalisasi!M6</f>
        <v/>
      </c>
      <c r="H14">
        <f>Normalisasi!N6</f>
        <v/>
      </c>
      <c r="I14">
        <f>Normalisasi!O6</f>
        <v/>
      </c>
      <c r="J14">
        <f>Normalisasi!P6</f>
        <v/>
      </c>
    </row>
    <row r="15">
      <c r="A15">
        <f>Data_Awal!A7</f>
        <v/>
      </c>
      <c r="B15">
        <f>Data_Awal!B7</f>
        <v/>
      </c>
      <c r="C15" t="n">
        <v>2</v>
      </c>
      <c r="D15">
        <f>Normalisasi!J7</f>
        <v/>
      </c>
      <c r="E15">
        <f>Normalisasi!K7</f>
        <v/>
      </c>
      <c r="F15">
        <f>Normalisasi!L7</f>
        <v/>
      </c>
      <c r="G15">
        <f>Normalisasi!M7</f>
        <v/>
      </c>
      <c r="H15">
        <f>Normalisasi!N7</f>
        <v/>
      </c>
      <c r="I15">
        <f>Normalisasi!O7</f>
        <v/>
      </c>
      <c r="J15">
        <f>Normalisasi!P7</f>
        <v/>
      </c>
    </row>
    <row r="16">
      <c r="A16">
        <f>Data_Awal!A8</f>
        <v/>
      </c>
      <c r="B16">
        <f>Data_Awal!B8</f>
        <v/>
      </c>
      <c r="C16" t="n">
        <v>0</v>
      </c>
      <c r="D16">
        <f>Normalisasi!J8</f>
        <v/>
      </c>
      <c r="E16">
        <f>Normalisasi!K8</f>
        <v/>
      </c>
      <c r="F16">
        <f>Normalisasi!L8</f>
        <v/>
      </c>
      <c r="G16">
        <f>Normalisasi!M8</f>
        <v/>
      </c>
      <c r="H16">
        <f>Normalisasi!N8</f>
        <v/>
      </c>
      <c r="I16">
        <f>Normalisasi!O8</f>
        <v/>
      </c>
      <c r="J16">
        <f>Normalisasi!P8</f>
        <v/>
      </c>
    </row>
    <row r="17">
      <c r="A17">
        <f>Data_Awal!A9</f>
        <v/>
      </c>
      <c r="B17">
        <f>Data_Awal!B9</f>
        <v/>
      </c>
      <c r="C17" t="n">
        <v>1</v>
      </c>
      <c r="D17">
        <f>Normalisasi!J9</f>
        <v/>
      </c>
      <c r="E17">
        <f>Normalisasi!K9</f>
        <v/>
      </c>
      <c r="F17">
        <f>Normalisasi!L9</f>
        <v/>
      </c>
      <c r="G17">
        <f>Normalisasi!M9</f>
        <v/>
      </c>
      <c r="H17">
        <f>Normalisasi!N9</f>
        <v/>
      </c>
      <c r="I17">
        <f>Normalisasi!O9</f>
        <v/>
      </c>
      <c r="J17">
        <f>Normalisasi!P9</f>
        <v/>
      </c>
    </row>
    <row r="18">
      <c r="A18">
        <f>Data_Awal!A10</f>
        <v/>
      </c>
      <c r="B18">
        <f>Data_Awal!B10</f>
        <v/>
      </c>
      <c r="C18" t="n">
        <v>0</v>
      </c>
      <c r="D18">
        <f>Normalisasi!J10</f>
        <v/>
      </c>
      <c r="E18">
        <f>Normalisasi!K10</f>
        <v/>
      </c>
      <c r="F18">
        <f>Normalisasi!L10</f>
        <v/>
      </c>
      <c r="G18">
        <f>Normalisasi!M10</f>
        <v/>
      </c>
      <c r="H18">
        <f>Normalisasi!N10</f>
        <v/>
      </c>
      <c r="I18">
        <f>Normalisasi!O10</f>
        <v/>
      </c>
      <c r="J18">
        <f>Normalisasi!P10</f>
        <v/>
      </c>
    </row>
    <row r="19">
      <c r="A19">
        <f>Data_Awal!A11</f>
        <v/>
      </c>
      <c r="B19">
        <f>Data_Awal!B11</f>
        <v/>
      </c>
      <c r="C19" t="n">
        <v>1</v>
      </c>
      <c r="D19">
        <f>Normalisasi!J11</f>
        <v/>
      </c>
      <c r="E19">
        <f>Normalisasi!K11</f>
        <v/>
      </c>
      <c r="F19">
        <f>Normalisasi!L11</f>
        <v/>
      </c>
      <c r="G19">
        <f>Normalisasi!M11</f>
        <v/>
      </c>
      <c r="H19">
        <f>Normalisasi!N11</f>
        <v/>
      </c>
      <c r="I19">
        <f>Normalisasi!O11</f>
        <v/>
      </c>
      <c r="J19">
        <f>Normalisasi!P11</f>
        <v/>
      </c>
    </row>
    <row r="20">
      <c r="A20">
        <f>Data_Awal!A12</f>
        <v/>
      </c>
      <c r="B20">
        <f>Data_Awal!B12</f>
        <v/>
      </c>
      <c r="C20" t="n">
        <v>1</v>
      </c>
      <c r="D20">
        <f>Normalisasi!J12</f>
        <v/>
      </c>
      <c r="E20">
        <f>Normalisasi!K12</f>
        <v/>
      </c>
      <c r="F20">
        <f>Normalisasi!L12</f>
        <v/>
      </c>
      <c r="G20">
        <f>Normalisasi!M12</f>
        <v/>
      </c>
      <c r="H20">
        <f>Normalisasi!N12</f>
        <v/>
      </c>
      <c r="I20">
        <f>Normalisasi!O12</f>
        <v/>
      </c>
      <c r="J20">
        <f>Normalisasi!P12</f>
        <v/>
      </c>
    </row>
    <row r="21">
      <c r="A21">
        <f>Data_Awal!A13</f>
        <v/>
      </c>
      <c r="B21">
        <f>Data_Awal!B13</f>
        <v/>
      </c>
      <c r="C21" t="n">
        <v>1</v>
      </c>
      <c r="D21">
        <f>Normalisasi!J13</f>
        <v/>
      </c>
      <c r="E21">
        <f>Normalisasi!K13</f>
        <v/>
      </c>
      <c r="F21">
        <f>Normalisasi!L13</f>
        <v/>
      </c>
      <c r="G21">
        <f>Normalisasi!M13</f>
        <v/>
      </c>
      <c r="H21">
        <f>Normalisasi!N13</f>
        <v/>
      </c>
      <c r="I21">
        <f>Normalisasi!O13</f>
        <v/>
      </c>
      <c r="J21">
        <f>Normalisasi!P13</f>
        <v/>
      </c>
    </row>
    <row r="22">
      <c r="A22">
        <f>Data_Awal!A14</f>
        <v/>
      </c>
      <c r="B22">
        <f>Data_Awal!B14</f>
        <v/>
      </c>
      <c r="C22" t="n">
        <v>2</v>
      </c>
      <c r="D22">
        <f>Normalisasi!J14</f>
        <v/>
      </c>
      <c r="E22">
        <f>Normalisasi!K14</f>
        <v/>
      </c>
      <c r="F22">
        <f>Normalisasi!L14</f>
        <v/>
      </c>
      <c r="G22">
        <f>Normalisasi!M14</f>
        <v/>
      </c>
      <c r="H22">
        <f>Normalisasi!N14</f>
        <v/>
      </c>
      <c r="I22">
        <f>Normalisasi!O14</f>
        <v/>
      </c>
      <c r="J22">
        <f>Normalisasi!P14</f>
        <v/>
      </c>
    </row>
    <row r="23">
      <c r="A23">
        <f>Data_Awal!A15</f>
        <v/>
      </c>
      <c r="B23">
        <f>Data_Awal!B15</f>
        <v/>
      </c>
      <c r="C23" t="n">
        <v>0</v>
      </c>
      <c r="D23">
        <f>Normalisasi!J15</f>
        <v/>
      </c>
      <c r="E23">
        <f>Normalisasi!K15</f>
        <v/>
      </c>
      <c r="F23">
        <f>Normalisasi!L15</f>
        <v/>
      </c>
      <c r="G23">
        <f>Normalisasi!M15</f>
        <v/>
      </c>
      <c r="H23">
        <f>Normalisasi!N15</f>
        <v/>
      </c>
      <c r="I23">
        <f>Normalisasi!O15</f>
        <v/>
      </c>
      <c r="J23">
        <f>Normalisasi!P15</f>
        <v/>
      </c>
    </row>
    <row r="24">
      <c r="A24">
        <f>Data_Awal!A16</f>
        <v/>
      </c>
      <c r="B24">
        <f>Data_Awal!B16</f>
        <v/>
      </c>
      <c r="C24" t="n">
        <v>1</v>
      </c>
      <c r="D24">
        <f>Normalisasi!J16</f>
        <v/>
      </c>
      <c r="E24">
        <f>Normalisasi!K16</f>
        <v/>
      </c>
      <c r="F24">
        <f>Normalisasi!L16</f>
        <v/>
      </c>
      <c r="G24">
        <f>Normalisasi!M16</f>
        <v/>
      </c>
      <c r="H24">
        <f>Normalisasi!N16</f>
        <v/>
      </c>
      <c r="I24">
        <f>Normalisasi!O16</f>
        <v/>
      </c>
      <c r="J24">
        <f>Normalisasi!P16</f>
        <v/>
      </c>
    </row>
    <row r="25">
      <c r="A25">
        <f>Data_Awal!A17</f>
        <v/>
      </c>
      <c r="B25">
        <f>Data_Awal!B17</f>
        <v/>
      </c>
      <c r="C25" t="n">
        <v>1</v>
      </c>
      <c r="D25">
        <f>Normalisasi!J17</f>
        <v/>
      </c>
      <c r="E25">
        <f>Normalisasi!K17</f>
        <v/>
      </c>
      <c r="F25">
        <f>Normalisasi!L17</f>
        <v/>
      </c>
      <c r="G25">
        <f>Normalisasi!M17</f>
        <v/>
      </c>
      <c r="H25">
        <f>Normalisasi!N17</f>
        <v/>
      </c>
      <c r="I25">
        <f>Normalisasi!O17</f>
        <v/>
      </c>
      <c r="J25">
        <f>Normalisasi!P17</f>
        <v/>
      </c>
    </row>
    <row r="26">
      <c r="A26">
        <f>Data_Awal!A18</f>
        <v/>
      </c>
      <c r="B26">
        <f>Data_Awal!B18</f>
        <v/>
      </c>
      <c r="C26" t="n">
        <v>0</v>
      </c>
      <c r="D26">
        <f>Normalisasi!J18</f>
        <v/>
      </c>
      <c r="E26">
        <f>Normalisasi!K18</f>
        <v/>
      </c>
      <c r="F26">
        <f>Normalisasi!L18</f>
        <v/>
      </c>
      <c r="G26">
        <f>Normalisasi!M18</f>
        <v/>
      </c>
      <c r="H26">
        <f>Normalisasi!N18</f>
        <v/>
      </c>
      <c r="I26">
        <f>Normalisasi!O18</f>
        <v/>
      </c>
      <c r="J26">
        <f>Normalisasi!P18</f>
        <v/>
      </c>
    </row>
    <row r="27">
      <c r="A27">
        <f>Data_Awal!A19</f>
        <v/>
      </c>
      <c r="B27">
        <f>Data_Awal!B19</f>
        <v/>
      </c>
      <c r="C27" t="n">
        <v>0</v>
      </c>
      <c r="D27">
        <f>Normalisasi!J19</f>
        <v/>
      </c>
      <c r="E27">
        <f>Normalisasi!K19</f>
        <v/>
      </c>
      <c r="F27">
        <f>Normalisasi!L19</f>
        <v/>
      </c>
      <c r="G27">
        <f>Normalisasi!M19</f>
        <v/>
      </c>
      <c r="H27">
        <f>Normalisasi!N19</f>
        <v/>
      </c>
      <c r="I27">
        <f>Normalisasi!O19</f>
        <v/>
      </c>
      <c r="J27">
        <f>Normalisasi!P19</f>
        <v/>
      </c>
    </row>
    <row r="28">
      <c r="A28">
        <f>Data_Awal!A20</f>
        <v/>
      </c>
      <c r="B28">
        <f>Data_Awal!B20</f>
        <v/>
      </c>
      <c r="C28" t="n">
        <v>0</v>
      </c>
      <c r="D28">
        <f>Normalisasi!J20</f>
        <v/>
      </c>
      <c r="E28">
        <f>Normalisasi!K20</f>
        <v/>
      </c>
      <c r="F28">
        <f>Normalisasi!L20</f>
        <v/>
      </c>
      <c r="G28">
        <f>Normalisasi!M20</f>
        <v/>
      </c>
      <c r="H28">
        <f>Normalisasi!N20</f>
        <v/>
      </c>
      <c r="I28">
        <f>Normalisasi!O20</f>
        <v/>
      </c>
      <c r="J28">
        <f>Normalisasi!P20</f>
        <v/>
      </c>
    </row>
    <row r="29">
      <c r="A29">
        <f>Data_Awal!A21</f>
        <v/>
      </c>
      <c r="B29">
        <f>Data_Awal!B21</f>
        <v/>
      </c>
      <c r="C29" t="n">
        <v>2</v>
      </c>
      <c r="D29">
        <f>Normalisasi!J21</f>
        <v/>
      </c>
      <c r="E29">
        <f>Normalisasi!K21</f>
        <v/>
      </c>
      <c r="F29">
        <f>Normalisasi!L21</f>
        <v/>
      </c>
      <c r="G29">
        <f>Normalisasi!M21</f>
        <v/>
      </c>
      <c r="H29">
        <f>Normalisasi!N21</f>
        <v/>
      </c>
      <c r="I29">
        <f>Normalisasi!O21</f>
        <v/>
      </c>
      <c r="J29">
        <f>Normalisasi!P21</f>
        <v/>
      </c>
    </row>
    <row r="30">
      <c r="A30">
        <f>Data_Awal!A22</f>
        <v/>
      </c>
      <c r="B30">
        <f>Data_Awal!B22</f>
        <v/>
      </c>
      <c r="C30" t="n">
        <v>2</v>
      </c>
      <c r="D30">
        <f>Normalisasi!J22</f>
        <v/>
      </c>
      <c r="E30">
        <f>Normalisasi!K22</f>
        <v/>
      </c>
      <c r="F30">
        <f>Normalisasi!L22</f>
        <v/>
      </c>
      <c r="G30">
        <f>Normalisasi!M22</f>
        <v/>
      </c>
      <c r="H30">
        <f>Normalisasi!N22</f>
        <v/>
      </c>
      <c r="I30">
        <f>Normalisasi!O22</f>
        <v/>
      </c>
      <c r="J30">
        <f>Normalisasi!P22</f>
        <v/>
      </c>
    </row>
    <row r="31">
      <c r="A31">
        <f>Data_Awal!A23</f>
        <v/>
      </c>
      <c r="B31">
        <f>Data_Awal!B23</f>
        <v/>
      </c>
      <c r="C31" t="n">
        <v>1</v>
      </c>
      <c r="D31">
        <f>Normalisasi!J23</f>
        <v/>
      </c>
      <c r="E31">
        <f>Normalisasi!K23</f>
        <v/>
      </c>
      <c r="F31">
        <f>Normalisasi!L23</f>
        <v/>
      </c>
      <c r="G31">
        <f>Normalisasi!M23</f>
        <v/>
      </c>
      <c r="H31">
        <f>Normalisasi!N23</f>
        <v/>
      </c>
      <c r="I31">
        <f>Normalisasi!O23</f>
        <v/>
      </c>
      <c r="J31">
        <f>Normalisasi!P23</f>
        <v/>
      </c>
    </row>
    <row r="32">
      <c r="A32">
        <f>Data_Awal!A24</f>
        <v/>
      </c>
      <c r="B32">
        <f>Data_Awal!B24</f>
        <v/>
      </c>
      <c r="C32" t="n">
        <v>2</v>
      </c>
      <c r="D32">
        <f>Normalisasi!J24</f>
        <v/>
      </c>
      <c r="E32">
        <f>Normalisasi!K24</f>
        <v/>
      </c>
      <c r="F32">
        <f>Normalisasi!L24</f>
        <v/>
      </c>
      <c r="G32">
        <f>Normalisasi!M24</f>
        <v/>
      </c>
      <c r="H32">
        <f>Normalisasi!N24</f>
        <v/>
      </c>
      <c r="I32">
        <f>Normalisasi!O24</f>
        <v/>
      </c>
      <c r="J32">
        <f>Normalisasi!P24</f>
        <v/>
      </c>
    </row>
    <row r="33">
      <c r="A33">
        <f>Data_Awal!A25</f>
        <v/>
      </c>
      <c r="B33">
        <f>Data_Awal!B25</f>
        <v/>
      </c>
      <c r="C33" t="n">
        <v>1</v>
      </c>
      <c r="D33">
        <f>Normalisasi!J25</f>
        <v/>
      </c>
      <c r="E33">
        <f>Normalisasi!K25</f>
        <v/>
      </c>
      <c r="F33">
        <f>Normalisasi!L25</f>
        <v/>
      </c>
      <c r="G33">
        <f>Normalisasi!M25</f>
        <v/>
      </c>
      <c r="H33">
        <f>Normalisasi!N25</f>
        <v/>
      </c>
      <c r="I33">
        <f>Normalisasi!O25</f>
        <v/>
      </c>
      <c r="J33">
        <f>Normalisasi!P25</f>
        <v/>
      </c>
    </row>
    <row r="34">
      <c r="A34">
        <f>Data_Awal!A26</f>
        <v/>
      </c>
      <c r="B34">
        <f>Data_Awal!B26</f>
        <v/>
      </c>
      <c r="C34" t="n">
        <v>2</v>
      </c>
      <c r="D34">
        <f>Normalisasi!J26</f>
        <v/>
      </c>
      <c r="E34">
        <f>Normalisasi!K26</f>
        <v/>
      </c>
      <c r="F34">
        <f>Normalisasi!L26</f>
        <v/>
      </c>
      <c r="G34">
        <f>Normalisasi!M26</f>
        <v/>
      </c>
      <c r="H34">
        <f>Normalisasi!N26</f>
        <v/>
      </c>
      <c r="I34">
        <f>Normalisasi!O26</f>
        <v/>
      </c>
      <c r="J34">
        <f>Normalisasi!P26</f>
        <v/>
      </c>
    </row>
    <row r="35">
      <c r="A35">
        <f>Data_Awal!A27</f>
        <v/>
      </c>
      <c r="B35">
        <f>Data_Awal!B27</f>
        <v/>
      </c>
      <c r="C35" t="n">
        <v>0</v>
      </c>
      <c r="D35">
        <f>Normalisasi!J27</f>
        <v/>
      </c>
      <c r="E35">
        <f>Normalisasi!K27</f>
        <v/>
      </c>
      <c r="F35">
        <f>Normalisasi!L27</f>
        <v/>
      </c>
      <c r="G35">
        <f>Normalisasi!M27</f>
        <v/>
      </c>
      <c r="H35">
        <f>Normalisasi!N27</f>
        <v/>
      </c>
      <c r="I35">
        <f>Normalisasi!O27</f>
        <v/>
      </c>
      <c r="J35">
        <f>Normalisasi!P27</f>
        <v/>
      </c>
    </row>
    <row r="36">
      <c r="A36">
        <f>Data_Awal!A28</f>
        <v/>
      </c>
      <c r="B36">
        <f>Data_Awal!B28</f>
        <v/>
      </c>
      <c r="C36" t="n">
        <v>2</v>
      </c>
      <c r="D36">
        <f>Normalisasi!J28</f>
        <v/>
      </c>
      <c r="E36">
        <f>Normalisasi!K28</f>
        <v/>
      </c>
      <c r="F36">
        <f>Normalisasi!L28</f>
        <v/>
      </c>
      <c r="G36">
        <f>Normalisasi!M28</f>
        <v/>
      </c>
      <c r="H36">
        <f>Normalisasi!N28</f>
        <v/>
      </c>
      <c r="I36">
        <f>Normalisasi!O28</f>
        <v/>
      </c>
      <c r="J36">
        <f>Normalisasi!P28</f>
        <v/>
      </c>
    </row>
    <row r="37">
      <c r="A37">
        <f>Data_Awal!A29</f>
        <v/>
      </c>
      <c r="B37">
        <f>Data_Awal!B29</f>
        <v/>
      </c>
      <c r="C37" t="n">
        <v>2</v>
      </c>
      <c r="D37">
        <f>Normalisasi!J29</f>
        <v/>
      </c>
      <c r="E37">
        <f>Normalisasi!K29</f>
        <v/>
      </c>
      <c r="F37">
        <f>Normalisasi!L29</f>
        <v/>
      </c>
      <c r="G37">
        <f>Normalisasi!M29</f>
        <v/>
      </c>
      <c r="H37">
        <f>Normalisasi!N29</f>
        <v/>
      </c>
      <c r="I37">
        <f>Normalisasi!O29</f>
        <v/>
      </c>
      <c r="J37">
        <f>Normalisasi!P29</f>
        <v/>
      </c>
    </row>
    <row r="38">
      <c r="A38">
        <f>Data_Awal!A30</f>
        <v/>
      </c>
      <c r="B38">
        <f>Data_Awal!B30</f>
        <v/>
      </c>
      <c r="C38" t="n">
        <v>0</v>
      </c>
      <c r="D38">
        <f>Normalisasi!J30</f>
        <v/>
      </c>
      <c r="E38">
        <f>Normalisasi!K30</f>
        <v/>
      </c>
      <c r="F38">
        <f>Normalisasi!L30</f>
        <v/>
      </c>
      <c r="G38">
        <f>Normalisasi!M30</f>
        <v/>
      </c>
      <c r="H38">
        <f>Normalisasi!N30</f>
        <v/>
      </c>
      <c r="I38">
        <f>Normalisasi!O30</f>
        <v/>
      </c>
      <c r="J38">
        <f>Normalisasi!P30</f>
        <v/>
      </c>
    </row>
    <row r="39">
      <c r="A39">
        <f>Data_Awal!A31</f>
        <v/>
      </c>
      <c r="B39">
        <f>Data_Awal!B31</f>
        <v/>
      </c>
      <c r="C39" t="n">
        <v>0</v>
      </c>
      <c r="D39">
        <f>Normalisasi!J31</f>
        <v/>
      </c>
      <c r="E39">
        <f>Normalisasi!K31</f>
        <v/>
      </c>
      <c r="F39">
        <f>Normalisasi!L31</f>
        <v/>
      </c>
      <c r="G39">
        <f>Normalisasi!M31</f>
        <v/>
      </c>
      <c r="H39">
        <f>Normalisasi!N31</f>
        <v/>
      </c>
      <c r="I39">
        <f>Normalisasi!O31</f>
        <v/>
      </c>
      <c r="J39">
        <f>Normalisasi!P31</f>
        <v/>
      </c>
    </row>
    <row r="40">
      <c r="A40">
        <f>Data_Awal!A32</f>
        <v/>
      </c>
      <c r="B40">
        <f>Data_Awal!B32</f>
        <v/>
      </c>
      <c r="C40" t="n">
        <v>0</v>
      </c>
      <c r="D40">
        <f>Normalisasi!J32</f>
        <v/>
      </c>
      <c r="E40">
        <f>Normalisasi!K32</f>
        <v/>
      </c>
      <c r="F40">
        <f>Normalisasi!L32</f>
        <v/>
      </c>
      <c r="G40">
        <f>Normalisasi!M32</f>
        <v/>
      </c>
      <c r="H40">
        <f>Normalisasi!N32</f>
        <v/>
      </c>
      <c r="I40">
        <f>Normalisasi!O32</f>
        <v/>
      </c>
      <c r="J40">
        <f>Normalisasi!P32</f>
        <v/>
      </c>
    </row>
    <row r="41">
      <c r="A41">
        <f>Data_Awal!A33</f>
        <v/>
      </c>
      <c r="B41">
        <f>Data_Awal!B33</f>
        <v/>
      </c>
      <c r="C41" t="n">
        <v>0</v>
      </c>
      <c r="D41">
        <f>Normalisasi!J33</f>
        <v/>
      </c>
      <c r="E41">
        <f>Normalisasi!K33</f>
        <v/>
      </c>
      <c r="F41">
        <f>Normalisasi!L33</f>
        <v/>
      </c>
      <c r="G41">
        <f>Normalisasi!M33</f>
        <v/>
      </c>
      <c r="H41">
        <f>Normalisasi!N33</f>
        <v/>
      </c>
      <c r="I41">
        <f>Normalisasi!O33</f>
        <v/>
      </c>
      <c r="J41">
        <f>Normalisasi!P33</f>
        <v/>
      </c>
    </row>
    <row r="42">
      <c r="A42">
        <f>Data_Awal!A34</f>
        <v/>
      </c>
      <c r="B42">
        <f>Data_Awal!B34</f>
        <v/>
      </c>
      <c r="C42" t="n">
        <v>1</v>
      </c>
      <c r="D42">
        <f>Normalisasi!J34</f>
        <v/>
      </c>
      <c r="E42">
        <f>Normalisasi!K34</f>
        <v/>
      </c>
      <c r="F42">
        <f>Normalisasi!L34</f>
        <v/>
      </c>
      <c r="G42">
        <f>Normalisasi!M34</f>
        <v/>
      </c>
      <c r="H42">
        <f>Normalisasi!N34</f>
        <v/>
      </c>
      <c r="I42">
        <f>Normalisasi!O34</f>
        <v/>
      </c>
      <c r="J42">
        <f>Normalisasi!P34</f>
        <v/>
      </c>
    </row>
    <row r="43">
      <c r="A43">
        <f>Data_Awal!A35</f>
        <v/>
      </c>
      <c r="B43">
        <f>Data_Awal!B35</f>
        <v/>
      </c>
      <c r="C43" t="n">
        <v>0</v>
      </c>
      <c r="D43">
        <f>Normalisasi!J35</f>
        <v/>
      </c>
      <c r="E43">
        <f>Normalisasi!K35</f>
        <v/>
      </c>
      <c r="F43">
        <f>Normalisasi!L35</f>
        <v/>
      </c>
      <c r="G43">
        <f>Normalisasi!M35</f>
        <v/>
      </c>
      <c r="H43">
        <f>Normalisasi!N35</f>
        <v/>
      </c>
      <c r="I43">
        <f>Normalisasi!O35</f>
        <v/>
      </c>
      <c r="J43">
        <f>Normalisasi!P35</f>
        <v/>
      </c>
    </row>
    <row r="44">
      <c r="A44">
        <f>Data_Awal!A36</f>
        <v/>
      </c>
      <c r="B44">
        <f>Data_Awal!B36</f>
        <v/>
      </c>
      <c r="C44" t="n">
        <v>0</v>
      </c>
      <c r="D44">
        <f>Normalisasi!J36</f>
        <v/>
      </c>
      <c r="E44">
        <f>Normalisasi!K36</f>
        <v/>
      </c>
      <c r="F44">
        <f>Normalisasi!L36</f>
        <v/>
      </c>
      <c r="G44">
        <f>Normalisasi!M36</f>
        <v/>
      </c>
      <c r="H44">
        <f>Normalisasi!N36</f>
        <v/>
      </c>
      <c r="I44">
        <f>Normalisasi!O36</f>
        <v/>
      </c>
      <c r="J44">
        <f>Normalisasi!P36</f>
        <v/>
      </c>
    </row>
    <row r="45">
      <c r="A45">
        <f>Data_Awal!A37</f>
        <v/>
      </c>
      <c r="B45">
        <f>Data_Awal!B37</f>
        <v/>
      </c>
      <c r="C45" t="n">
        <v>2</v>
      </c>
      <c r="D45">
        <f>Normalisasi!J37</f>
        <v/>
      </c>
      <c r="E45">
        <f>Normalisasi!K37</f>
        <v/>
      </c>
      <c r="F45">
        <f>Normalisasi!L37</f>
        <v/>
      </c>
      <c r="G45">
        <f>Normalisasi!M37</f>
        <v/>
      </c>
      <c r="H45">
        <f>Normalisasi!N37</f>
        <v/>
      </c>
      <c r="I45">
        <f>Normalisasi!O37</f>
        <v/>
      </c>
      <c r="J45">
        <f>Normalisasi!P37</f>
        <v/>
      </c>
    </row>
    <row r="46">
      <c r="A46">
        <f>Data_Awal!A38</f>
        <v/>
      </c>
      <c r="B46">
        <f>Data_Awal!B38</f>
        <v/>
      </c>
      <c r="C46" t="n">
        <v>1</v>
      </c>
      <c r="D46">
        <f>Normalisasi!J38</f>
        <v/>
      </c>
      <c r="E46">
        <f>Normalisasi!K38</f>
        <v/>
      </c>
      <c r="F46">
        <f>Normalisasi!L38</f>
        <v/>
      </c>
      <c r="G46">
        <f>Normalisasi!M38</f>
        <v/>
      </c>
      <c r="H46">
        <f>Normalisasi!N38</f>
        <v/>
      </c>
      <c r="I46">
        <f>Normalisasi!O38</f>
        <v/>
      </c>
      <c r="J46">
        <f>Normalisasi!P38</f>
        <v/>
      </c>
    </row>
    <row r="47">
      <c r="A47">
        <f>Data_Awal!A39</f>
        <v/>
      </c>
      <c r="B47">
        <f>Data_Awal!B39</f>
        <v/>
      </c>
      <c r="C47" t="n">
        <v>0</v>
      </c>
      <c r="D47">
        <f>Normalisasi!J39</f>
        <v/>
      </c>
      <c r="E47">
        <f>Normalisasi!K39</f>
        <v/>
      </c>
      <c r="F47">
        <f>Normalisasi!L39</f>
        <v/>
      </c>
      <c r="G47">
        <f>Normalisasi!M39</f>
        <v/>
      </c>
      <c r="H47">
        <f>Normalisasi!N39</f>
        <v/>
      </c>
      <c r="I47">
        <f>Normalisasi!O39</f>
        <v/>
      </c>
      <c r="J47">
        <f>Normalisasi!P39</f>
        <v/>
      </c>
    </row>
    <row r="48">
      <c r="A48">
        <f>Data_Awal!A40</f>
        <v/>
      </c>
      <c r="B48">
        <f>Data_Awal!B40</f>
        <v/>
      </c>
      <c r="C48" t="n">
        <v>1</v>
      </c>
      <c r="D48">
        <f>Normalisasi!J40</f>
        <v/>
      </c>
      <c r="E48">
        <f>Normalisasi!K40</f>
        <v/>
      </c>
      <c r="F48">
        <f>Normalisasi!L40</f>
        <v/>
      </c>
      <c r="G48">
        <f>Normalisasi!M40</f>
        <v/>
      </c>
      <c r="H48">
        <f>Normalisasi!N40</f>
        <v/>
      </c>
      <c r="I48">
        <f>Normalisasi!O40</f>
        <v/>
      </c>
      <c r="J48">
        <f>Normalisasi!P40</f>
        <v/>
      </c>
    </row>
    <row r="49">
      <c r="A49">
        <f>Data_Awal!A41</f>
        <v/>
      </c>
      <c r="B49">
        <f>Data_Awal!B41</f>
        <v/>
      </c>
      <c r="C49" t="n">
        <v>1</v>
      </c>
      <c r="D49">
        <f>Normalisasi!J41</f>
        <v/>
      </c>
      <c r="E49">
        <f>Normalisasi!K41</f>
        <v/>
      </c>
      <c r="F49">
        <f>Normalisasi!L41</f>
        <v/>
      </c>
      <c r="G49">
        <f>Normalisasi!M41</f>
        <v/>
      </c>
      <c r="H49">
        <f>Normalisasi!N41</f>
        <v/>
      </c>
      <c r="I49">
        <f>Normalisasi!O41</f>
        <v/>
      </c>
      <c r="J49">
        <f>Normalisasi!P41</f>
        <v/>
      </c>
    </row>
    <row r="50">
      <c r="A50">
        <f>Data_Awal!A42</f>
        <v/>
      </c>
      <c r="B50">
        <f>Data_Awal!B42</f>
        <v/>
      </c>
      <c r="C50" t="n">
        <v>2</v>
      </c>
      <c r="D50">
        <f>Normalisasi!J42</f>
        <v/>
      </c>
      <c r="E50">
        <f>Normalisasi!K42</f>
        <v/>
      </c>
      <c r="F50">
        <f>Normalisasi!L42</f>
        <v/>
      </c>
      <c r="G50">
        <f>Normalisasi!M42</f>
        <v/>
      </c>
      <c r="H50">
        <f>Normalisasi!N42</f>
        <v/>
      </c>
      <c r="I50">
        <f>Normalisasi!O42</f>
        <v/>
      </c>
      <c r="J50">
        <f>Normalisasi!P42</f>
        <v/>
      </c>
    </row>
    <row r="51">
      <c r="A51">
        <f>Data_Awal!A43</f>
        <v/>
      </c>
      <c r="B51">
        <f>Data_Awal!B43</f>
        <v/>
      </c>
      <c r="C51" t="n">
        <v>2</v>
      </c>
      <c r="D51">
        <f>Normalisasi!J43</f>
        <v/>
      </c>
      <c r="E51">
        <f>Normalisasi!K43</f>
        <v/>
      </c>
      <c r="F51">
        <f>Normalisasi!L43</f>
        <v/>
      </c>
      <c r="G51">
        <f>Normalisasi!M43</f>
        <v/>
      </c>
      <c r="H51">
        <f>Normalisasi!N43</f>
        <v/>
      </c>
      <c r="I51">
        <f>Normalisasi!O43</f>
        <v/>
      </c>
      <c r="J51">
        <f>Normalisasi!P43</f>
        <v/>
      </c>
    </row>
    <row r="52">
      <c r="A52">
        <f>Data_Awal!A44</f>
        <v/>
      </c>
      <c r="B52">
        <f>Data_Awal!B44</f>
        <v/>
      </c>
      <c r="C52" t="n">
        <v>2</v>
      </c>
      <c r="D52">
        <f>Normalisasi!J44</f>
        <v/>
      </c>
      <c r="E52">
        <f>Normalisasi!K44</f>
        <v/>
      </c>
      <c r="F52">
        <f>Normalisasi!L44</f>
        <v/>
      </c>
      <c r="G52">
        <f>Normalisasi!M44</f>
        <v/>
      </c>
      <c r="H52">
        <f>Normalisasi!N44</f>
        <v/>
      </c>
      <c r="I52">
        <f>Normalisasi!O44</f>
        <v/>
      </c>
      <c r="J52">
        <f>Normalisasi!P44</f>
        <v/>
      </c>
    </row>
    <row r="53">
      <c r="A53">
        <f>Data_Awal!A45</f>
        <v/>
      </c>
      <c r="B53">
        <f>Data_Awal!B45</f>
        <v/>
      </c>
      <c r="C53" t="n">
        <v>2</v>
      </c>
      <c r="D53">
        <f>Normalisasi!J45</f>
        <v/>
      </c>
      <c r="E53">
        <f>Normalisasi!K45</f>
        <v/>
      </c>
      <c r="F53">
        <f>Normalisasi!L45</f>
        <v/>
      </c>
      <c r="G53">
        <f>Normalisasi!M45</f>
        <v/>
      </c>
      <c r="H53">
        <f>Normalisasi!N45</f>
        <v/>
      </c>
      <c r="I53">
        <f>Normalisasi!O45</f>
        <v/>
      </c>
      <c r="J53">
        <f>Normalisasi!P45</f>
        <v/>
      </c>
    </row>
    <row r="54">
      <c r="A54">
        <f>Data_Awal!A46</f>
        <v/>
      </c>
      <c r="B54">
        <f>Data_Awal!B46</f>
        <v/>
      </c>
      <c r="C54" t="n">
        <v>2</v>
      </c>
      <c r="D54">
        <f>Normalisasi!J46</f>
        <v/>
      </c>
      <c r="E54">
        <f>Normalisasi!K46</f>
        <v/>
      </c>
      <c r="F54">
        <f>Normalisasi!L46</f>
        <v/>
      </c>
      <c r="G54">
        <f>Normalisasi!M46</f>
        <v/>
      </c>
      <c r="H54">
        <f>Normalisasi!N46</f>
        <v/>
      </c>
      <c r="I54">
        <f>Normalisasi!O46</f>
        <v/>
      </c>
      <c r="J54">
        <f>Normalisasi!P46</f>
        <v/>
      </c>
    </row>
    <row r="55">
      <c r="A55">
        <f>Data_Awal!A47</f>
        <v/>
      </c>
      <c r="B55">
        <f>Data_Awal!B47</f>
        <v/>
      </c>
      <c r="C55" t="n">
        <v>2</v>
      </c>
      <c r="D55">
        <f>Normalisasi!J47</f>
        <v/>
      </c>
      <c r="E55">
        <f>Normalisasi!K47</f>
        <v/>
      </c>
      <c r="F55">
        <f>Normalisasi!L47</f>
        <v/>
      </c>
      <c r="G55">
        <f>Normalisasi!M47</f>
        <v/>
      </c>
      <c r="H55">
        <f>Normalisasi!N47</f>
        <v/>
      </c>
      <c r="I55">
        <f>Normalisasi!O47</f>
        <v/>
      </c>
      <c r="J55">
        <f>Normalisasi!P47</f>
        <v/>
      </c>
    </row>
    <row r="56">
      <c r="A56">
        <f>Data_Awal!A48</f>
        <v/>
      </c>
      <c r="B56">
        <f>Data_Awal!B48</f>
        <v/>
      </c>
      <c r="C56" t="n">
        <v>1</v>
      </c>
      <c r="D56">
        <f>Normalisasi!J48</f>
        <v/>
      </c>
      <c r="E56">
        <f>Normalisasi!K48</f>
        <v/>
      </c>
      <c r="F56">
        <f>Normalisasi!L48</f>
        <v/>
      </c>
      <c r="G56">
        <f>Normalisasi!M48</f>
        <v/>
      </c>
      <c r="H56">
        <f>Normalisasi!N48</f>
        <v/>
      </c>
      <c r="I56">
        <f>Normalisasi!O48</f>
        <v/>
      </c>
      <c r="J56">
        <f>Normalisasi!P48</f>
        <v/>
      </c>
    </row>
    <row r="57">
      <c r="A57">
        <f>Data_Awal!A49</f>
        <v/>
      </c>
      <c r="B57">
        <f>Data_Awal!B49</f>
        <v/>
      </c>
      <c r="C57" t="n">
        <v>0</v>
      </c>
      <c r="D57">
        <f>Normalisasi!J49</f>
        <v/>
      </c>
      <c r="E57">
        <f>Normalisasi!K49</f>
        <v/>
      </c>
      <c r="F57">
        <f>Normalisasi!L49</f>
        <v/>
      </c>
      <c r="G57">
        <f>Normalisasi!M49</f>
        <v/>
      </c>
      <c r="H57">
        <f>Normalisasi!N49</f>
        <v/>
      </c>
      <c r="I57">
        <f>Normalisasi!O49</f>
        <v/>
      </c>
      <c r="J57">
        <f>Normalisasi!P49</f>
        <v/>
      </c>
    </row>
    <row r="58">
      <c r="A58">
        <f>Data_Awal!A50</f>
        <v/>
      </c>
      <c r="B58">
        <f>Data_Awal!B50</f>
        <v/>
      </c>
      <c r="C58" t="n">
        <v>0</v>
      </c>
      <c r="D58">
        <f>Normalisasi!J50</f>
        <v/>
      </c>
      <c r="E58">
        <f>Normalisasi!K50</f>
        <v/>
      </c>
      <c r="F58">
        <f>Normalisasi!L50</f>
        <v/>
      </c>
      <c r="G58">
        <f>Normalisasi!M50</f>
        <v/>
      </c>
      <c r="H58">
        <f>Normalisasi!N50</f>
        <v/>
      </c>
      <c r="I58">
        <f>Normalisasi!O50</f>
        <v/>
      </c>
      <c r="J58">
        <f>Normalisasi!P50</f>
        <v/>
      </c>
    </row>
    <row r="59">
      <c r="A59">
        <f>Data_Awal!A51</f>
        <v/>
      </c>
      <c r="B59">
        <f>Data_Awal!B51</f>
        <v/>
      </c>
      <c r="C59" t="n">
        <v>2</v>
      </c>
      <c r="D59">
        <f>Normalisasi!J51</f>
        <v/>
      </c>
      <c r="E59">
        <f>Normalisasi!K51</f>
        <v/>
      </c>
      <c r="F59">
        <f>Normalisasi!L51</f>
        <v/>
      </c>
      <c r="G59">
        <f>Normalisasi!M51</f>
        <v/>
      </c>
      <c r="H59">
        <f>Normalisasi!N51</f>
        <v/>
      </c>
      <c r="I59">
        <f>Normalisasi!O51</f>
        <v/>
      </c>
      <c r="J59">
        <f>Normalisasi!P51</f>
        <v/>
      </c>
    </row>
    <row r="62">
      <c r="A62" s="4" t="inlineStr">
        <is>
          <t>Metrik Evaluasi</t>
        </is>
      </c>
    </row>
    <row r="63">
      <c r="A63" t="inlineStr">
        <is>
          <t>Silhouette Score</t>
        </is>
      </c>
      <c r="B63" t="n">
        <v>0.1425954466160036</v>
      </c>
    </row>
    <row r="64">
      <c r="A64" t="inlineStr">
        <is>
          <t>Davies-Bouldin Index</t>
        </is>
      </c>
      <c r="B64" t="n">
        <v>1.874972319800827</v>
      </c>
    </row>
    <row r="65">
      <c r="A65" t="inlineStr">
        <is>
          <t>WCSS</t>
        </is>
      </c>
      <c r="B65" t="n">
        <v>252.188785316548</v>
      </c>
    </row>
    <row r="66">
      <c r="A66" t="inlineStr">
        <is>
          <t>Iterasi Konvergensi</t>
        </is>
      </c>
      <c r="B6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WCSS</t>
        </is>
      </c>
      <c r="C1" s="1" t="inlineStr">
        <is>
          <t>Silhouette</t>
        </is>
      </c>
      <c r="D1" s="1" t="inlineStr">
        <is>
          <t>DBI</t>
        </is>
      </c>
      <c r="E1" s="1" t="inlineStr">
        <is>
          <t>Iterasi</t>
        </is>
      </c>
      <c r="F1" s="1" t="inlineStr">
        <is>
          <t>Optimal?</t>
        </is>
      </c>
    </row>
    <row r="2">
      <c r="A2" t="n">
        <v>2</v>
      </c>
      <c r="B2" t="n">
        <v>298.2312541124172</v>
      </c>
      <c r="C2" t="n">
        <v>0.1354395991159434</v>
      </c>
      <c r="D2" t="n">
        <v>2.159765394668951</v>
      </c>
      <c r="E2" t="n">
        <v>3</v>
      </c>
      <c r="F2" t="inlineStr">
        <is>
          <t>Tidak</t>
        </is>
      </c>
    </row>
    <row r="3">
      <c r="A3" t="n">
        <v>3</v>
      </c>
      <c r="B3" t="n">
        <v>252.188785316548</v>
      </c>
      <c r="C3" t="n">
        <v>0.1425954466160036</v>
      </c>
      <c r="D3" t="n">
        <v>1.874972319800827</v>
      </c>
      <c r="E3" t="n">
        <v>11</v>
      </c>
      <c r="F3" t="inlineStr">
        <is>
          <t>Tidak</t>
        </is>
      </c>
    </row>
    <row r="4">
      <c r="A4" t="n">
        <v>4</v>
      </c>
      <c r="B4" t="n">
        <v>230.9026962944189</v>
      </c>
      <c r="C4" t="n">
        <v>0.1384150946187413</v>
      </c>
      <c r="D4" t="n">
        <v>1.837826886972164</v>
      </c>
      <c r="E4" t="n">
        <v>7</v>
      </c>
      <c r="F4" t="inlineStr">
        <is>
          <t>Tidak</t>
        </is>
      </c>
    </row>
    <row r="5">
      <c r="A5" t="n">
        <v>5</v>
      </c>
      <c r="B5" t="n">
        <v>210.8812617184877</v>
      </c>
      <c r="C5" t="n">
        <v>0.1448570449472519</v>
      </c>
      <c r="D5" t="n">
        <v>1.582410545010235</v>
      </c>
      <c r="E5" t="n">
        <v>7</v>
      </c>
      <c r="F5" t="inlineStr">
        <is>
          <t>Tidak</t>
        </is>
      </c>
    </row>
    <row r="6">
      <c r="A6" t="n">
        <v>6</v>
      </c>
      <c r="B6" t="n">
        <v>189.8572007089255</v>
      </c>
      <c r="C6" t="n">
        <v>0.1541370533690808</v>
      </c>
      <c r="D6" t="n">
        <v>1.609718249570079</v>
      </c>
      <c r="E6" t="n">
        <v>7</v>
      </c>
      <c r="F6" t="inlineStr">
        <is>
          <t>Ya</t>
        </is>
      </c>
    </row>
    <row r="7">
      <c r="A7" t="n">
        <v>7</v>
      </c>
      <c r="B7" t="n">
        <v>182.533500026644</v>
      </c>
      <c r="C7" t="n">
        <v>0.1367440012845947</v>
      </c>
      <c r="D7" t="n">
        <v>1.567885214383245</v>
      </c>
      <c r="E7" t="n">
        <v>6</v>
      </c>
      <c r="F7" t="inlineStr">
        <is>
          <t>Tidak</t>
        </is>
      </c>
    </row>
    <row r="9">
      <c r="A9" t="inlineStr">
        <is>
          <t>K Optimal (Silhouette max)</t>
        </is>
      </c>
      <c r="B9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Verifikasi: Excel vs Program Python</t>
        </is>
      </c>
    </row>
    <row r="2">
      <c r="A2" s="1" t="inlineStr">
        <is>
          <t>Uji</t>
        </is>
      </c>
      <c r="B2" s="1" t="inlineStr">
        <is>
          <t>Nilai</t>
        </is>
      </c>
      <c r="C2" s="1" t="inlineStr">
        <is>
          <t>Status</t>
        </is>
      </c>
    </row>
    <row r="3">
      <c r="A3" t="inlineStr">
        <is>
          <t>Max selisih Z-Score (Normalisasi col Q vs Py R-X)</t>
        </is>
      </c>
      <c r="B3" t="n">
        <v>0</v>
      </c>
      <c r="C3" t="inlineStr">
        <is>
          <t>LOLOS</t>
        </is>
      </c>
    </row>
    <row r="4">
      <c r="A4" t="inlineStr">
        <is>
          <t>WCSS final Python</t>
        </is>
      </c>
      <c r="B4" t="n">
        <v>252.188785316548</v>
      </c>
      <c r="C4" t="inlineStr">
        <is>
          <t>LOLOS</t>
        </is>
      </c>
    </row>
    <row r="5">
      <c r="A5" t="inlineStr">
        <is>
          <t>Silhouette Python</t>
        </is>
      </c>
      <c r="B5" t="n">
        <v>0.1425954466160036</v>
      </c>
      <c r="C5" t="inlineStr">
        <is>
          <t>LOLOS</t>
        </is>
      </c>
    </row>
    <row r="6">
      <c r="A6" t="inlineStr">
        <is>
          <t>DBI Python</t>
        </is>
      </c>
      <c r="B6" t="n">
        <v>1.874972319800827</v>
      </c>
      <c r="C6" t="inlineStr">
        <is>
          <t>LOLOS</t>
        </is>
      </c>
    </row>
    <row r="7">
      <c r="A7" t="inlineStr">
        <is>
          <t>Iterasi konvergensi</t>
        </is>
      </c>
      <c r="B7" t="n">
        <v>11</v>
      </c>
      <c r="C7" t="inlineStr">
        <is>
          <t>LOLOS</t>
        </is>
      </c>
    </row>
    <row r="8">
      <c r="A8" t="inlineStr">
        <is>
          <t>K optimal (Silhouette)</t>
        </is>
      </c>
      <c r="B8" t="n">
        <v>6</v>
      </c>
      <c r="C8" t="inlineStr">
        <is>
          <t>LOLOS</t>
        </is>
      </c>
    </row>
    <row r="10">
      <c r="A10" t="inlineStr">
        <is>
          <t>Catatan</t>
        </is>
      </c>
      <c r="B10" t="inlineStr">
        <is>
          <t>Ubah data kuning di Data_Awal → Normalisasi &amp; Konvergensi ter-update otomatis.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2026-06-07T09:49:44Z</dcterms:created>
  <dcterms:modified xmlns:dcterms="http://purl.org/dc/terms/" xmlns:xsi="http://www.w3.org/2001/XMLSchema-instance" xsi:type="dcterms:W3CDTF">2026-06-07T09:49:44Z</dcterms:modified>
</cp:coreProperties>
</file>